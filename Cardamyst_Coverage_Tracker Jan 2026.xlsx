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Trac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FF172852"/>
      <sz val="16"/>
    </font>
    <font>
      <i val="1"/>
      <color rgb="FF54575E"/>
      <sz val="12"/>
    </font>
    <font>
      <b val="1"/>
      <color rgb="00FFFFFF"/>
      <sz val="12"/>
    </font>
    <font>
      <b val="1"/>
      <color rgb="FF172852"/>
      <sz val="11"/>
    </font>
    <font>
      <color rgb="FF54575E"/>
      <sz val="11"/>
    </font>
    <font>
      <i val="1"/>
      <color rgb="FF54575E"/>
      <sz val="10"/>
    </font>
    <font>
      <b val="1"/>
      <color rgb="FF0D7AB5"/>
      <sz val="10"/>
    </font>
    <font>
      <color rgb="FF54575E"/>
      <sz val="10"/>
    </font>
    <font>
      <b val="1"/>
      <color rgb="FF00B2E3"/>
      <sz val="10"/>
    </font>
    <font>
      <b val="1"/>
      <color rgb="FF0D7AB5"/>
      <sz val="11"/>
    </font>
    <font>
      <b val="1"/>
      <color rgb="FF00B2E3"/>
      <sz val="11"/>
    </font>
    <font>
      <b val="1"/>
      <color rgb="FF172852"/>
    </font>
    <font>
      <b val="1"/>
      <color rgb="FF71B4BE"/>
      <sz val="14"/>
    </font>
  </fonts>
  <fills count="4">
    <fill>
      <patternFill/>
    </fill>
    <fill>
      <patternFill patternType="gray125"/>
    </fill>
    <fill>
      <patternFill patternType="solid">
        <fgColor rgb="FF172852"/>
        <bgColor rgb="FF172852"/>
      </patternFill>
    </fill>
    <fill>
      <patternFill patternType="solid">
        <fgColor rgb="FFDCEEF4"/>
        <bgColor rgb="FFDCEEF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10" fontId="5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0" fontId="4" fillId="0" borderId="1" applyAlignment="1" pivotButton="0" quotePrefix="0" xfId="0">
      <alignment horizontal="right"/>
    </xf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3" borderId="1" pivotButton="0" quotePrefix="0" xfId="0"/>
    <xf numFmtId="0" fontId="10" fillId="0" borderId="1" pivotButton="0" quotePrefix="0" xfId="0"/>
    <xf numFmtId="9" fontId="5" fillId="0" borderId="1" applyAlignment="1" pivotButton="0" quotePrefix="0" xfId="0">
      <alignment horizontal="center"/>
    </xf>
    <xf numFmtId="0" fontId="11" fillId="0" borderId="1" pivotButton="0" quotePrefix="0" xfId="0"/>
    <xf numFmtId="10" fontId="4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0" pivotButton="0" quotePrefix="0" xfId="0"/>
    <xf numFmtId="3" fontId="12" fillId="0" borderId="0" pivotButton="0" quotePrefix="0" xfId="0"/>
    <xf numFmtId="0" fontId="6" fillId="0" borderId="0" pivotButton="0" quotePrefix="0" xfId="0"/>
    <xf numFmtId="3" fontId="8" fillId="0" borderId="0" pivotButton="0" quotePrefix="0" xfId="0"/>
    <xf numFmtId="1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Commercial Coverage Trend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Tracking'!$B$7:$P$7</f>
            </numRef>
          </cat>
          <val>
            <numRef>
              <f>'Monthly Tracking'!$B$8:$P$8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Tracking'!$B$7:$P$7</f>
            </numRef>
          </cat>
          <val>
            <numRef>
              <f>'Monthly Tracking'!$B$9:$P$9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Coverage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4" customWidth="1" min="4" max="4"/>
    <col width="25" customWidth="1" min="5" max="5"/>
  </cols>
  <sheetData>
    <row r="1">
      <c r="A1" s="1" t="inlineStr">
        <is>
          <t>CARDAMYST COVERAGE TRACKER</t>
        </is>
      </c>
    </row>
    <row r="2">
      <c r="A2" s="2" t="inlineStr">
        <is>
          <t>January 2026</t>
        </is>
      </c>
    </row>
    <row r="4">
      <c r="A4" s="3" t="inlineStr">
        <is>
          <t>COVERAGE SUMMARY</t>
        </is>
      </c>
      <c r="B4" s="4" t="n"/>
      <c r="C4" s="4" t="n"/>
      <c r="D4" s="4" t="n"/>
      <c r="E4" s="4" t="n"/>
    </row>
    <row r="5">
      <c r="A5" s="5" t="inlineStr">
        <is>
          <t>Segment</t>
        </is>
      </c>
      <c r="B5" s="5" t="inlineStr">
        <is>
          <t>Total Lives</t>
        </is>
      </c>
      <c r="C5" s="5" t="inlineStr">
        <is>
          <t>Covered Lives</t>
        </is>
      </c>
      <c r="D5" s="5" t="inlineStr">
        <is>
          <t>Coverage %</t>
        </is>
      </c>
      <c r="E5" s="5" t="inlineStr">
        <is>
          <t>Notes</t>
        </is>
      </c>
    </row>
    <row r="6">
      <c r="A6" s="6" t="inlineStr">
        <is>
          <t>Commercial</t>
        </is>
      </c>
      <c r="B6" s="7" t="n">
        <v>187209834.97332</v>
      </c>
      <c r="C6" s="7" t="n">
        <v>7034139.350185246</v>
      </c>
      <c r="D6" s="8" t="n">
        <v>0.03757355670543543</v>
      </c>
      <c r="E6" s="9" t="inlineStr">
        <is>
          <t>Includes Federal programs</t>
        </is>
      </c>
    </row>
    <row r="7">
      <c r="A7" s="6" t="inlineStr">
        <is>
          <t xml:space="preserve">  └ Federal Programs</t>
        </is>
      </c>
      <c r="B7" s="7" t="n">
        <v>15636176</v>
      </c>
      <c r="C7" s="7" t="n">
        <v>5879432.999999998</v>
      </c>
      <c r="D7" s="8" t="n">
        <v>0.3760147621771461</v>
      </c>
      <c r="E7" s="9" t="inlineStr">
        <is>
          <t>TRICARE, VA (subset)</t>
        </is>
      </c>
    </row>
    <row r="8">
      <c r="A8" s="6" t="inlineStr">
        <is>
          <t>Medicare</t>
        </is>
      </c>
      <c r="B8" s="7" t="n">
        <v>54278778.60346118</v>
      </c>
      <c r="C8" s="7" t="n">
        <v>0</v>
      </c>
      <c r="D8" s="8" t="n">
        <v>0</v>
      </c>
      <c r="E8" s="9" t="inlineStr">
        <is>
          <t>Part D, MA, SNP, EGWP</t>
        </is>
      </c>
    </row>
    <row r="9">
      <c r="A9" s="6" t="inlineStr">
        <is>
          <t>Medicaid</t>
        </is>
      </c>
      <c r="B9" s="7" t="n">
        <v>73287278</v>
      </c>
      <c r="C9" s="7" t="n">
        <v>0</v>
      </c>
      <c r="D9" s="8" t="n">
        <v>0</v>
      </c>
      <c r="E9" s="9" t="inlineStr">
        <is>
          <t>State, Managed, CHIP</t>
        </is>
      </c>
    </row>
    <row r="10">
      <c r="A10" s="10" t="inlineStr">
        <is>
          <t>TOTAL</t>
        </is>
      </c>
      <c r="B10" s="11" t="n">
        <v>314775891.5767812</v>
      </c>
      <c r="C10" s="11" t="n">
        <v>7034139.350185246</v>
      </c>
      <c r="D10" s="12" t="n">
        <v>0.02234649964757373</v>
      </c>
      <c r="E10" s="10" t="inlineStr"/>
    </row>
    <row r="13">
      <c r="A13" s="3" t="inlineStr">
        <is>
          <t>ALL PLANS WITH COVERAGE</t>
        </is>
      </c>
      <c r="B13" s="4" t="n"/>
      <c r="C13" s="4" t="n"/>
      <c r="D13" s="4" t="n"/>
      <c r="E13" s="4" t="n"/>
    </row>
    <row r="14">
      <c r="A14" s="5" t="inlineStr">
        <is>
          <t>Plan Name</t>
        </is>
      </c>
      <c r="B14" s="5" t="inlineStr">
        <is>
          <t>Plan Type</t>
        </is>
      </c>
      <c r="C14" s="5" t="inlineStr">
        <is>
          <t>Segment</t>
        </is>
      </c>
      <c r="D14" s="5" t="inlineStr">
        <is>
          <t>Covered Lives</t>
        </is>
      </c>
      <c r="E14" s="5" t="inlineStr">
        <is>
          <t>Status</t>
        </is>
      </c>
    </row>
    <row r="15">
      <c r="A15" s="6" t="inlineStr">
        <is>
          <t>TRICARE Uniform Formulary</t>
        </is>
      </c>
      <c r="B15" s="6" t="inlineStr">
        <is>
          <t>Fed Prog</t>
        </is>
      </c>
      <c r="C15" s="6" t="inlineStr">
        <is>
          <t>Federal</t>
        </is>
      </c>
      <c r="D15" s="7" t="n">
        <v>5879432.999999998</v>
      </c>
      <c r="E15" s="6" t="inlineStr">
        <is>
          <t>(T3)</t>
        </is>
      </c>
    </row>
    <row r="16">
      <c r="A16" s="6" t="inlineStr">
        <is>
          <t>MGM Resorts International</t>
        </is>
      </c>
      <c r="B16" s="6" t="inlineStr">
        <is>
          <t>Employer</t>
        </is>
      </c>
      <c r="C16" s="6" t="inlineStr">
        <is>
          <t>Commercial</t>
        </is>
      </c>
      <c r="D16" s="7" t="n">
        <v>185337</v>
      </c>
      <c r="E16" s="6" t="inlineStr">
        <is>
          <t>(T3)</t>
        </is>
      </c>
    </row>
    <row r="17">
      <c r="A17" s="6" t="inlineStr">
        <is>
          <t>UnitedHealthcare Community Plan Essential</t>
        </is>
      </c>
      <c r="B17" s="6" t="inlineStr">
        <is>
          <t>HIX-Medicaid</t>
        </is>
      </c>
      <c r="C17" s="6" t="inlineStr">
        <is>
          <t>Commercial</t>
        </is>
      </c>
      <c r="D17" s="7" t="n">
        <v>174217</v>
      </c>
      <c r="E17" s="6" t="inlineStr">
        <is>
          <t>(T3) (PA)</t>
        </is>
      </c>
    </row>
    <row r="18">
      <c r="A18" s="6" t="inlineStr">
        <is>
          <t>CHI Franciscan</t>
        </is>
      </c>
      <c r="B18" s="6" t="inlineStr">
        <is>
          <t>Employer</t>
        </is>
      </c>
      <c r="C18" s="6" t="inlineStr">
        <is>
          <t>Commercial</t>
        </is>
      </c>
      <c r="D18" s="7" t="n">
        <v>135877</v>
      </c>
      <c r="E18" s="6" t="inlineStr">
        <is>
          <t>(T3)</t>
        </is>
      </c>
    </row>
    <row r="19">
      <c r="A19" s="6" t="inlineStr">
        <is>
          <t>Apple</t>
        </is>
      </c>
      <c r="B19" s="6" t="inlineStr">
        <is>
          <t>Employer</t>
        </is>
      </c>
      <c r="C19" s="6" t="inlineStr">
        <is>
          <t>Commercial</t>
        </is>
      </c>
      <c r="D19" s="7" t="n">
        <v>118347</v>
      </c>
      <c r="E19" s="6" t="inlineStr">
        <is>
          <t>(T3)</t>
        </is>
      </c>
    </row>
    <row r="20">
      <c r="A20" s="6" t="inlineStr">
        <is>
          <t>State of Ohio</t>
        </is>
      </c>
      <c r="B20" s="6" t="inlineStr">
        <is>
          <t>Employer</t>
        </is>
      </c>
      <c r="C20" s="6" t="inlineStr">
        <is>
          <t>Commercial</t>
        </is>
      </c>
      <c r="D20" s="7" t="n">
        <v>105536</v>
      </c>
      <c r="E20" s="6" t="inlineStr">
        <is>
          <t>(T3)</t>
        </is>
      </c>
    </row>
    <row r="21">
      <c r="A21" s="6" t="inlineStr">
        <is>
          <t>General Electric</t>
        </is>
      </c>
      <c r="B21" s="6" t="inlineStr">
        <is>
          <t>Employer</t>
        </is>
      </c>
      <c r="C21" s="6" t="inlineStr">
        <is>
          <t>Commercial</t>
        </is>
      </c>
      <c r="D21" s="7" t="n">
        <v>98194</v>
      </c>
      <c r="E21" s="6" t="inlineStr">
        <is>
          <t>(T3)</t>
        </is>
      </c>
    </row>
    <row r="22">
      <c r="A22" s="6" t="inlineStr">
        <is>
          <t>State of Michigan</t>
        </is>
      </c>
      <c r="B22" s="6" t="inlineStr">
        <is>
          <t>Employer</t>
        </is>
      </c>
      <c r="C22" s="6" t="inlineStr">
        <is>
          <t>Commercial</t>
        </is>
      </c>
      <c r="D22" s="7" t="n">
        <v>95690</v>
      </c>
      <c r="E22" s="6" t="inlineStr">
        <is>
          <t>(T3)</t>
        </is>
      </c>
    </row>
    <row r="23">
      <c r="A23" s="6" t="inlineStr">
        <is>
          <t>Weis Markets</t>
        </is>
      </c>
      <c r="B23" s="6" t="inlineStr">
        <is>
          <t>Employer</t>
        </is>
      </c>
      <c r="C23" s="6" t="inlineStr">
        <is>
          <t>Commercial</t>
        </is>
      </c>
      <c r="D23" s="7" t="n">
        <v>40010</v>
      </c>
      <c r="E23" s="6" t="inlineStr">
        <is>
          <t>(T3)</t>
        </is>
      </c>
    </row>
    <row r="24">
      <c r="A24" s="6" t="inlineStr">
        <is>
          <t>Smithfield Foods</t>
        </is>
      </c>
      <c r="B24" s="6" t="inlineStr">
        <is>
          <t>Employer</t>
        </is>
      </c>
      <c r="C24" s="6" t="inlineStr">
        <is>
          <t>Commercial</t>
        </is>
      </c>
      <c r="D24" s="7" t="n">
        <v>23040</v>
      </c>
      <c r="E24" s="6" t="inlineStr">
        <is>
          <t>(T3)</t>
        </is>
      </c>
    </row>
    <row r="25">
      <c r="A25" s="6" t="inlineStr">
        <is>
          <t>Milwaukee Public Schools</t>
        </is>
      </c>
      <c r="B25" s="6" t="inlineStr">
        <is>
          <t>Employer</t>
        </is>
      </c>
      <c r="C25" s="6" t="inlineStr">
        <is>
          <t>Commercial</t>
        </is>
      </c>
      <c r="D25" s="7" t="n">
        <v>20363</v>
      </c>
      <c r="E25" s="6" t="inlineStr">
        <is>
          <t>(T3)</t>
        </is>
      </c>
    </row>
    <row r="26">
      <c r="A26" s="6" t="inlineStr">
        <is>
          <t>Men's Wearhouse</t>
        </is>
      </c>
      <c r="B26" s="6" t="inlineStr">
        <is>
          <t>Employer</t>
        </is>
      </c>
      <c r="C26" s="6" t="inlineStr">
        <is>
          <t>Commercial</t>
        </is>
      </c>
      <c r="D26" s="7" t="n">
        <v>16832</v>
      </c>
      <c r="E26" s="6" t="inlineStr">
        <is>
          <t>(T3)</t>
        </is>
      </c>
    </row>
    <row r="27">
      <c r="A27" s="6" t="inlineStr">
        <is>
          <t>Portland Adventist Medical Center</t>
        </is>
      </c>
      <c r="B27" s="6" t="inlineStr">
        <is>
          <t>Employer</t>
        </is>
      </c>
      <c r="C27" s="6" t="inlineStr">
        <is>
          <t>Commercial</t>
        </is>
      </c>
      <c r="D27" s="7" t="n">
        <v>15639</v>
      </c>
      <c r="E27" s="6" t="inlineStr">
        <is>
          <t>(T3)</t>
        </is>
      </c>
    </row>
    <row r="28">
      <c r="A28" s="6" t="inlineStr">
        <is>
          <t>International Longshore &amp; Warehouse Union - Pacific Maritime Association (ILWU-PMA)</t>
        </is>
      </c>
      <c r="B28" s="6" t="inlineStr">
        <is>
          <t>Employer</t>
        </is>
      </c>
      <c r="C28" s="6" t="inlineStr">
        <is>
          <t>Commercial</t>
        </is>
      </c>
      <c r="D28" s="7" t="n">
        <v>13977.35018524835</v>
      </c>
      <c r="E28" s="6" t="inlineStr">
        <is>
          <t>(T3)</t>
        </is>
      </c>
    </row>
    <row r="29">
      <c r="A29" s="6" t="inlineStr">
        <is>
          <t>Lear</t>
        </is>
      </c>
      <c r="B29" s="6" t="inlineStr">
        <is>
          <t>Employer</t>
        </is>
      </c>
      <c r="C29" s="6" t="inlineStr">
        <is>
          <t>Commercial</t>
        </is>
      </c>
      <c r="D29" s="7" t="n">
        <v>13195</v>
      </c>
      <c r="E29" s="6" t="inlineStr">
        <is>
          <t>(T3)</t>
        </is>
      </c>
    </row>
    <row r="30">
      <c r="A30" s="6" t="inlineStr">
        <is>
          <t>North Mississippi Health Services</t>
        </is>
      </c>
      <c r="B30" s="6" t="inlineStr">
        <is>
          <t>Employer</t>
        </is>
      </c>
      <c r="C30" s="6" t="inlineStr">
        <is>
          <t>Commercial</t>
        </is>
      </c>
      <c r="D30" s="7" t="n">
        <v>13070</v>
      </c>
      <c r="E30" s="6" t="inlineStr">
        <is>
          <t>(T3)</t>
        </is>
      </c>
    </row>
    <row r="31">
      <c r="A31" s="6" t="inlineStr">
        <is>
          <t>Haier US Appliance Solutions</t>
        </is>
      </c>
      <c r="B31" s="6" t="inlineStr">
        <is>
          <t>Employer</t>
        </is>
      </c>
      <c r="C31" s="6" t="inlineStr">
        <is>
          <t>Commercial</t>
        </is>
      </c>
      <c r="D31" s="7" t="n">
        <v>12770</v>
      </c>
      <c r="E31" s="6" t="inlineStr">
        <is>
          <t>(T3)</t>
        </is>
      </c>
    </row>
    <row r="32">
      <c r="A32" s="6" t="inlineStr">
        <is>
          <t>Syracuse University</t>
        </is>
      </c>
      <c r="B32" s="6" t="inlineStr">
        <is>
          <t>Employer</t>
        </is>
      </c>
      <c r="C32" s="6" t="inlineStr">
        <is>
          <t>Commercial</t>
        </is>
      </c>
      <c r="D32" s="7" t="n">
        <v>12185</v>
      </c>
      <c r="E32" s="6" t="inlineStr">
        <is>
          <t>(T3)</t>
        </is>
      </c>
    </row>
    <row r="33">
      <c r="A33" s="6" t="inlineStr">
        <is>
          <t>Navient Corporation</t>
        </is>
      </c>
      <c r="B33" s="6" t="inlineStr">
        <is>
          <t>Employer</t>
        </is>
      </c>
      <c r="C33" s="6" t="inlineStr">
        <is>
          <t>Commercial</t>
        </is>
      </c>
      <c r="D33" s="7" t="n">
        <v>10186</v>
      </c>
      <c r="E33" s="6" t="inlineStr">
        <is>
          <t>(T3)</t>
        </is>
      </c>
    </row>
    <row r="34">
      <c r="A34" s="6" t="inlineStr">
        <is>
          <t>Community Health Network ProHealth</t>
        </is>
      </c>
      <c r="B34" s="6" t="inlineStr">
        <is>
          <t>Employer</t>
        </is>
      </c>
      <c r="C34" s="6" t="inlineStr">
        <is>
          <t>Commercial</t>
        </is>
      </c>
      <c r="D34" s="7" t="n">
        <v>9142</v>
      </c>
      <c r="E34" s="6" t="inlineStr">
        <is>
          <t>(T3)</t>
        </is>
      </c>
    </row>
    <row r="35">
      <c r="A35" s="6" t="inlineStr">
        <is>
          <t>Oakland County Employees</t>
        </is>
      </c>
      <c r="B35" s="6" t="inlineStr">
        <is>
          <t>Employer</t>
        </is>
      </c>
      <c r="C35" s="6" t="inlineStr">
        <is>
          <t>Commercial</t>
        </is>
      </c>
      <c r="D35" s="7" t="n">
        <v>6215</v>
      </c>
      <c r="E35" s="6" t="inlineStr">
        <is>
          <t>(T3)</t>
        </is>
      </c>
    </row>
    <row r="36">
      <c r="A36" s="6" t="inlineStr">
        <is>
          <t>St. Luke's University Health Network</t>
        </is>
      </c>
      <c r="B36" s="6" t="inlineStr">
        <is>
          <t>Employer</t>
        </is>
      </c>
      <c r="C36" s="6" t="inlineStr">
        <is>
          <t>Commercial</t>
        </is>
      </c>
      <c r="D36" s="7" t="n">
        <v>5701</v>
      </c>
      <c r="E36" s="6" t="inlineStr">
        <is>
          <t>(T3)</t>
        </is>
      </c>
    </row>
    <row r="37">
      <c r="A37" s="6" t="inlineStr">
        <is>
          <t>Northern Arizona University</t>
        </is>
      </c>
      <c r="B37" s="6" t="inlineStr">
        <is>
          <t>Employer</t>
        </is>
      </c>
      <c r="C37" s="6" t="inlineStr">
        <is>
          <t>Commercial</t>
        </is>
      </c>
      <c r="D37" s="7" t="n">
        <v>5603</v>
      </c>
      <c r="E37" s="6" t="inlineStr">
        <is>
          <t>(T3)</t>
        </is>
      </c>
    </row>
    <row r="38">
      <c r="A38" s="6" t="inlineStr">
        <is>
          <t>BiMart</t>
        </is>
      </c>
      <c r="B38" s="6" t="inlineStr">
        <is>
          <t>Employer</t>
        </is>
      </c>
      <c r="C38" s="6" t="inlineStr">
        <is>
          <t>Commercial</t>
        </is>
      </c>
      <c r="D38" s="7" t="n">
        <v>5491</v>
      </c>
      <c r="E38" s="6" t="inlineStr">
        <is>
          <t>(T3)</t>
        </is>
      </c>
    </row>
    <row r="39">
      <c r="A39" s="6" t="inlineStr">
        <is>
          <t>Rochester Institute Of Technology</t>
        </is>
      </c>
      <c r="B39" s="6" t="inlineStr">
        <is>
          <t>Employer</t>
        </is>
      </c>
      <c r="C39" s="6" t="inlineStr">
        <is>
          <t>Commercial</t>
        </is>
      </c>
      <c r="D39" s="7" t="n">
        <v>4888</v>
      </c>
      <c r="E39" s="6" t="inlineStr">
        <is>
          <t>(T3)</t>
        </is>
      </c>
    </row>
    <row r="40">
      <c r="A40" s="6" t="inlineStr">
        <is>
          <t>City of Toledo</t>
        </is>
      </c>
      <c r="B40" s="6" t="inlineStr">
        <is>
          <t>Employer</t>
        </is>
      </c>
      <c r="C40" s="6" t="inlineStr">
        <is>
          <t>Commercial</t>
        </is>
      </c>
      <c r="D40" s="7" t="n">
        <v>4499</v>
      </c>
      <c r="E40" s="6" t="inlineStr">
        <is>
          <t>(T3)</t>
        </is>
      </c>
    </row>
    <row r="41">
      <c r="A41" s="6" t="inlineStr">
        <is>
          <t>Southeast Georgia Health System</t>
        </is>
      </c>
      <c r="B41" s="6" t="inlineStr">
        <is>
          <t>Employer</t>
        </is>
      </c>
      <c r="C41" s="6" t="inlineStr">
        <is>
          <t>Commercial</t>
        </is>
      </c>
      <c r="D41" s="7" t="n">
        <v>2917</v>
      </c>
      <c r="E41" s="6" t="inlineStr">
        <is>
          <t>(T3)</t>
        </is>
      </c>
    </row>
    <row r="42">
      <c r="A42" s="6" t="inlineStr">
        <is>
          <t>St. Elizabeth</t>
        </is>
      </c>
      <c r="B42" s="6" t="inlineStr">
        <is>
          <t>Employer</t>
        </is>
      </c>
      <c r="C42" s="6" t="inlineStr">
        <is>
          <t>Commercial</t>
        </is>
      </c>
      <c r="D42" s="7" t="n">
        <v>2600</v>
      </c>
      <c r="E42" s="6" t="inlineStr">
        <is>
          <t>(T3)</t>
        </is>
      </c>
    </row>
    <row r="43">
      <c r="A43" s="6" t="inlineStr">
        <is>
          <t>City of Denton</t>
        </is>
      </c>
      <c r="B43" s="6" t="inlineStr">
        <is>
          <t>Employer</t>
        </is>
      </c>
      <c r="C43" s="6" t="inlineStr">
        <is>
          <t>Commercial</t>
        </is>
      </c>
      <c r="D43" s="7" t="n">
        <v>1453</v>
      </c>
      <c r="E43" s="6" t="inlineStr">
        <is>
          <t>(T3)</t>
        </is>
      </c>
    </row>
    <row r="44">
      <c r="A44" s="6" t="inlineStr">
        <is>
          <t>Wellmark Blue Rx Preferred</t>
        </is>
      </c>
      <c r="B44" s="6" t="inlineStr">
        <is>
          <t>Commercial</t>
        </is>
      </c>
      <c r="C44" s="6" t="inlineStr">
        <is>
          <t>Commercial</t>
        </is>
      </c>
      <c r="D44" s="7" t="n">
        <v>1157</v>
      </c>
      <c r="E44" s="6" t="inlineStr">
        <is>
          <t>(T4)</t>
        </is>
      </c>
    </row>
    <row r="45">
      <c r="A45" s="6" t="inlineStr">
        <is>
          <t>Nacogdoches Medical Center</t>
        </is>
      </c>
      <c r="B45" s="6" t="inlineStr">
        <is>
          <t>Employer</t>
        </is>
      </c>
      <c r="C45" s="6" t="inlineStr">
        <is>
          <t>Commercial</t>
        </is>
      </c>
      <c r="D45" s="7" t="n">
        <v>575</v>
      </c>
      <c r="E45" s="6" t="inlineStr">
        <is>
          <t>(T3)</t>
        </is>
      </c>
    </row>
    <row r="46">
      <c r="A46" s="6" t="inlineStr">
        <is>
          <t>OptumRx Select</t>
        </is>
      </c>
      <c r="B46" s="6" t="inlineStr">
        <is>
          <t>PBM</t>
        </is>
      </c>
      <c r="C46" s="6" t="inlineStr">
        <is>
          <t>Commercial</t>
        </is>
      </c>
      <c r="D46" s="7" t="n">
        <v>0</v>
      </c>
      <c r="E46" s="6" t="inlineStr">
        <is>
          <t>(T3)</t>
        </is>
      </c>
    </row>
  </sheetData>
  <mergeCells count="4">
    <mergeCell ref="A2:E2"/>
    <mergeCell ref="A1:E1"/>
    <mergeCell ref="A4:E4"/>
    <mergeCell ref="A13:E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1" t="inlineStr">
        <is>
          <t>COMMERCIAL COVERAGE: FORECAST VS ACTUAL</t>
        </is>
      </c>
    </row>
    <row r="3">
      <c r="A3" s="13" t="inlineStr">
        <is>
          <t>LEGEND:</t>
        </is>
      </c>
    </row>
    <row r="4">
      <c r="A4" s="14" t="inlineStr">
        <is>
          <t>Forecast</t>
        </is>
      </c>
      <c r="B4" s="15">
        <f> Internal projections</f>
        <v/>
      </c>
    </row>
    <row r="5">
      <c r="A5" s="16" t="inlineStr">
        <is>
          <t>Actual</t>
        </is>
      </c>
      <c r="B5" s="15">
        <f> Calculated from Clarivate Fingertip data (Tier 3 &amp; Tier 4 = Covered)</f>
        <v/>
      </c>
    </row>
    <row r="7">
      <c r="A7" s="17" t="inlineStr"/>
      <c r="B7" s="5" t="inlineStr">
        <is>
          <t>Jan-26</t>
        </is>
      </c>
      <c r="C7" s="5" t="inlineStr">
        <is>
          <t>Feb-26</t>
        </is>
      </c>
      <c r="D7" s="5" t="inlineStr">
        <is>
          <t>Mar-26</t>
        </is>
      </c>
      <c r="E7" s="5" t="inlineStr">
        <is>
          <t>Apr-26</t>
        </is>
      </c>
      <c r="F7" s="5" t="inlineStr">
        <is>
          <t>May-26</t>
        </is>
      </c>
      <c r="G7" s="5" t="inlineStr">
        <is>
          <t>Jun-26</t>
        </is>
      </c>
      <c r="H7" s="5" t="inlineStr">
        <is>
          <t>Jul-26</t>
        </is>
      </c>
      <c r="I7" s="5" t="inlineStr">
        <is>
          <t>Aug-26</t>
        </is>
      </c>
      <c r="J7" s="5" t="inlineStr">
        <is>
          <t>Sep-26</t>
        </is>
      </c>
      <c r="K7" s="5" t="inlineStr">
        <is>
          <t>Oct-26</t>
        </is>
      </c>
      <c r="L7" s="5" t="inlineStr">
        <is>
          <t>Nov-26</t>
        </is>
      </c>
      <c r="M7" s="5" t="inlineStr">
        <is>
          <t>Dec-26</t>
        </is>
      </c>
      <c r="N7" s="5" t="inlineStr">
        <is>
          <t>Jan-27</t>
        </is>
      </c>
      <c r="O7" s="5" t="inlineStr">
        <is>
          <t>Feb-27</t>
        </is>
      </c>
      <c r="P7" s="5" t="inlineStr">
        <is>
          <t>Mar-27</t>
        </is>
      </c>
    </row>
    <row r="8">
      <c r="A8" s="18" t="inlineStr">
        <is>
          <t>Forecast %</t>
        </is>
      </c>
      <c r="B8" s="19" t="n">
        <v>0</v>
      </c>
      <c r="C8" s="19" t="n">
        <v>0</v>
      </c>
      <c r="D8" s="19" t="n">
        <v>0</v>
      </c>
      <c r="E8" s="19" t="n">
        <v>0.06</v>
      </c>
      <c r="F8" s="19" t="n">
        <v>0.11</v>
      </c>
      <c r="G8" s="19" t="n">
        <v>0.29</v>
      </c>
      <c r="H8" s="19" t="n">
        <v>0.44</v>
      </c>
      <c r="I8" s="19" t="n">
        <v>0.52</v>
      </c>
      <c r="J8" s="19" t="n">
        <v>0.58</v>
      </c>
      <c r="K8" s="19" t="n">
        <v>0.58</v>
      </c>
      <c r="L8" s="19" t="n">
        <v>0.58</v>
      </c>
      <c r="M8" s="19" t="n">
        <v>0.58</v>
      </c>
      <c r="N8" s="19" t="n">
        <v>0.71</v>
      </c>
      <c r="O8" s="19" t="n">
        <v>0.83</v>
      </c>
      <c r="P8" s="19" t="n">
        <v>0.84</v>
      </c>
    </row>
    <row r="9">
      <c r="A9" s="20" t="inlineStr">
        <is>
          <t>Actual %</t>
        </is>
      </c>
      <c r="B9" s="21" t="n">
        <v>0.03757355670543543</v>
      </c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</row>
    <row r="11">
      <c r="A11" s="13" t="inlineStr">
        <is>
          <t>CURRENT METRICS (Jan-26)</t>
        </is>
      </c>
    </row>
    <row r="12">
      <c r="A12" s="23" t="inlineStr">
        <is>
          <t>Total Commercial Lives:</t>
        </is>
      </c>
      <c r="B12" s="24" t="n">
        <v>187209834.97332</v>
      </c>
    </row>
    <row r="13">
      <c r="A13" s="23" t="inlineStr">
        <is>
          <t>Covered Lives:</t>
        </is>
      </c>
      <c r="B13" s="24" t="n">
        <v>7034139.350185246</v>
      </c>
    </row>
    <row r="14">
      <c r="A14" s="25" t="inlineStr">
        <is>
          <t xml:space="preserve">  └ Federal Lives:</t>
        </is>
      </c>
      <c r="B14" s="26" t="n">
        <v>5879432.999999998</v>
      </c>
    </row>
    <row r="15">
      <c r="A15" s="23" t="inlineStr">
        <is>
          <t>Coverage %:</t>
        </is>
      </c>
      <c r="B15" s="27" t="n">
        <v>0.03757355670543543</v>
      </c>
    </row>
  </sheetData>
  <mergeCells count="2">
    <mergeCell ref="A1:P1"/>
    <mergeCell ref="A11:C1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2026-01-31T14:32:07Z</dcterms:created>
  <dcterms:modified xmlns:dcterms="http://purl.org/dc/terms/" xmlns:xsi="http://www.w3.org/2001/XMLSchema-instance" xsi:type="dcterms:W3CDTF">2026-01-31T14:32:07Z</dcterms:modified>
</cp:coreProperties>
</file>