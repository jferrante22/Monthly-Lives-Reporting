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acking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Plan Detail" sheetId="4" state="visible" r:id="rId4"/>
    <sheet xmlns:r="http://schemas.openxmlformats.org/officeDocument/2006/relationships" name="Defini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+0.0%;\-0.0%;0.0%"/>
  </numFmts>
  <fonts count="13">
    <font>
      <name val="Calibri"/>
      <charset val="1"/>
      <family val="2"/>
      <color theme="1"/>
      <sz val="11"/>
    </font>
    <font>
      <name val="Cambria"/>
      <charset val="1"/>
      <b val="1"/>
      <sz val="18"/>
    </font>
    <font>
      <name val="Cambria"/>
      <charset val="1"/>
      <i val="1"/>
      <sz val="12"/>
    </font>
    <font>
      <name val="Cambria"/>
      <charset val="1"/>
      <b val="1"/>
      <sz val="11"/>
    </font>
    <font>
      <name val="Cambria"/>
      <charset val="1"/>
      <b val="1"/>
      <color rgb="FFFFFFFF"/>
      <sz val="14"/>
    </font>
    <font>
      <name val="Cambria"/>
      <charset val="1"/>
      <i val="1"/>
      <sz val="11"/>
    </font>
    <font>
      <name val="Cambria"/>
      <charset val="1"/>
      <b val="1"/>
      <color rgb="FF2F5496"/>
      <sz val="12"/>
    </font>
    <font>
      <name val="Cambria"/>
      <charset val="1"/>
      <b val="1"/>
      <sz val="16"/>
    </font>
    <font>
      <name val="Cambria"/>
      <charset val="1"/>
      <i val="1"/>
      <color rgb="FF666666"/>
      <sz val="10"/>
    </font>
    <font>
      <name val="Cambria"/>
      <charset val="1"/>
      <i val="1"/>
      <sz val="10"/>
    </font>
    <font>
      <name val="Cambria"/>
      <charset val="1"/>
      <b val="1"/>
      <color rgb="FF666666"/>
      <sz val="11"/>
    </font>
    <font>
      <name val="Cambria"/>
      <charset val="1"/>
      <b val="1"/>
      <sz val="14"/>
    </font>
    <font>
      <name val="Cambria"/>
      <charset val="1"/>
      <b val="1"/>
      <sz val="12"/>
    </font>
  </fonts>
  <fills count="7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DCE4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E2EFDA"/>
        <bgColor rgb="FFD6DCE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3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3" borderId="1" pivotButton="0" quotePrefix="0" xfId="0"/>
    <xf numFmtId="9" fontId="0" fillId="0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0" fontId="9" fillId="4" borderId="1" pivotButton="0" quotePrefix="0" xfId="0"/>
    <xf numFmtId="3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10" fillId="0" borderId="0" pivotButton="0" quotePrefix="0" xfId="0"/>
    <xf numFmtId="0" fontId="3" fillId="3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3" fontId="0" fillId="4" borderId="1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F9F9F9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Commercial Coverage: Forecast vs Actual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736577448366899"/>
          <y val="0.1135696600677952"/>
          <w val="0.7591312387321448"/>
          <h val="0.7351438256452762"/>
        </manualLayout>
      </layout>
      <lineChart>
        <grouping val="standard"/>
        <varyColors val="0"/>
        <ser>
          <idx val="0"/>
          <order val="0"/>
          <tx>
            <strRef>
              <f>Charts!$B$3</f>
              <strCache>
                <ptCount val="1"/>
                <pt idx="0">
                  <v>Comm Forecast</v>
                </pt>
              </strCache>
            </strRef>
          </tx>
          <spPr>
            <a:ln xmlns:a="http://schemas.openxmlformats.org/drawingml/2006/main" w="4752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Charts!$A$4:$A$18</f>
              <strCache>
                <ptCount val="15"/>
                <pt idx="0">
                  <v>Jan-26</v>
                </pt>
                <pt idx="1">
                  <v>Feb-26</v>
                </pt>
                <pt idx="2">
                  <v>Mar-26</v>
                </pt>
                <pt idx="3">
                  <v>Apr-26</v>
                </pt>
                <pt idx="4">
                  <v>May-26</v>
                </pt>
                <pt idx="5">
                  <v>Jun-26</v>
                </pt>
                <pt idx="6">
                  <v>Jul-26</v>
                </pt>
                <pt idx="7">
                  <v>Aug-26</v>
                </pt>
                <pt idx="8">
                  <v>Sep-26</v>
                </pt>
                <pt idx="9">
                  <v>Oct-26</v>
                </pt>
                <pt idx="10">
                  <v>Nov-26</v>
                </pt>
                <pt idx="11">
                  <v>Dec-26</v>
                </pt>
                <pt idx="12">
                  <v>Jan-27</v>
                </pt>
                <pt idx="13">
                  <v>Feb-27</v>
                </pt>
                <pt idx="14">
                  <v>Mar-27</v>
                </pt>
              </strCache>
            </strRef>
          </cat>
          <val>
            <numRef>
              <f>Charts!$B$4:$B$18</f>
              <numCache>
                <formatCode>0%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0.06</v>
                </pt>
                <pt idx="4">
                  <v>0.11</v>
                </pt>
                <pt idx="5">
                  <v>0.29</v>
                </pt>
                <pt idx="6">
                  <v>0.44</v>
                </pt>
                <pt idx="7">
                  <v>0.52</v>
                </pt>
                <pt idx="8">
                  <v>0.58</v>
                </pt>
                <pt idx="9">
                  <v>0.58</v>
                </pt>
                <pt idx="10">
                  <v>0.58</v>
                </pt>
                <pt idx="11">
                  <v>0.58</v>
                </pt>
                <pt idx="12">
                  <v>0.71</v>
                </pt>
                <pt idx="13">
                  <v>0.83</v>
                </pt>
                <pt idx="14">
                  <v>0.84</v>
                </pt>
              </numCache>
            </numRef>
          </val>
          <smooth val="1"/>
        </ser>
        <ser>
          <idx val="1"/>
          <order val="1"/>
          <tx>
            <strRef>
              <f>Charts!$C$3</f>
              <strCache>
                <ptCount val="1"/>
                <pt idx="0">
                  <v>Comm Actual</v>
                </pt>
              </strCache>
            </strRef>
          </tx>
          <spPr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Charts!$A$4:$A$18</f>
              <strCache>
                <ptCount val="15"/>
                <pt idx="0">
                  <v>Jan-26</v>
                </pt>
                <pt idx="1">
                  <v>Feb-26</v>
                </pt>
                <pt idx="2">
                  <v>Mar-26</v>
                </pt>
                <pt idx="3">
                  <v>Apr-26</v>
                </pt>
                <pt idx="4">
                  <v>May-26</v>
                </pt>
                <pt idx="5">
                  <v>Jun-26</v>
                </pt>
                <pt idx="6">
                  <v>Jul-26</v>
                </pt>
                <pt idx="7">
                  <v>Aug-26</v>
                </pt>
                <pt idx="8">
                  <v>Sep-26</v>
                </pt>
                <pt idx="9">
                  <v>Oct-26</v>
                </pt>
                <pt idx="10">
                  <v>Nov-26</v>
                </pt>
                <pt idx="11">
                  <v>Dec-26</v>
                </pt>
                <pt idx="12">
                  <v>Jan-27</v>
                </pt>
                <pt idx="13">
                  <v>Feb-27</v>
                </pt>
                <pt idx="14">
                  <v>Mar-27</v>
                </pt>
              </strCache>
            </strRef>
          </cat>
          <val>
            <numRef>
              <f>Charts!$C$4</f>
              <numCache>
                <formatCode>0.0%</formatCode>
                <ptCount val="1"/>
                <pt idx="0">
                  <v>0.0365448904718715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60808958"/>
        <axId val="4354959"/>
      </lineChart>
      <catAx>
        <axId val="6080895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354959"/>
        <crosses val="autoZero"/>
        <auto val="1"/>
        <lblAlgn val="ctr"/>
        <lblOffset val="100"/>
        <noMultiLvlLbl val="0"/>
      </catAx>
      <valAx>
        <axId val="4354959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360">
              <a:noFill/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Covered Lives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080895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Current Coverage by Segment (Jan 2026)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Charts!$B$23</f>
              <strCache>
                <ptCount val="1"/>
                <pt idx="0">
                  <v>Coverage 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Charts!$A$24:$A$26</f>
              <strCache>
                <ptCount val="3"/>
                <pt idx="0">
                  <v>Commercial</v>
                </pt>
                <pt idx="1">
                  <v>Medicare</v>
                </pt>
                <pt idx="2">
                  <v>Medicaid</v>
                </pt>
              </strCache>
            </strRef>
          </cat>
          <val>
            <numRef>
              <f>Charts!$B$24:$B$26</f>
              <numCache>
                <formatCode>0.0%</formatCode>
                <ptCount val="3"/>
                <pt idx="0">
                  <v>0.0365448904718715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2319928"/>
        <axId val="62251334"/>
      </barChart>
      <catAx>
        <axId val="72319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2251334"/>
        <crosses val="autoZero"/>
        <auto val="1"/>
        <lblAlgn val="ctr"/>
        <lblOffset val="100"/>
        <noMultiLvlLbl val="0"/>
      </catAx>
      <valAx>
        <axId val="6225133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Covered Lives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231992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2</row>
      <rowOff>47625</rowOff>
    </from>
    <to>
      <col>23</col>
      <colOff>438150</colOff>
      <row>26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219075</colOff>
      <row>27</row>
      <rowOff>104775</rowOff>
    </from>
    <to>
      <col>17</col>
      <colOff>285750</colOff>
      <row>46</row>
      <rowOff>84915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zoomScaleNormal="100" workbookViewId="0">
      <selection activeCell="A1" sqref="A1"/>
    </sheetView>
  </sheetViews>
  <sheetFormatPr baseColWidth="8" defaultColWidth="8.7109375" defaultRowHeight="15"/>
  <cols>
    <col width="55" customWidth="1" min="1" max="1"/>
    <col width="18" customWidth="1" min="2" max="3"/>
    <col width="20" customWidth="1" min="4" max="4"/>
    <col width="38" customWidth="1" min="5" max="5"/>
  </cols>
  <sheetData>
    <row r="1" ht="22.5" customHeight="1">
      <c r="A1" s="2" t="inlineStr">
        <is>
          <t>Cardamyst Formulary Coverage Tracker</t>
        </is>
      </c>
    </row>
    <row r="2" ht="15.75" customHeight="1">
      <c r="A2" s="3" t="inlineStr">
        <is>
          <t>Market Access Monthly Update</t>
        </is>
      </c>
    </row>
    <row r="4">
      <c r="A4" t="inlineStr">
        <is>
          <t>Report Date:</t>
        </is>
      </c>
      <c r="B4" s="4" t="inlineStr">
        <is>
          <t>January 2026 (Updated 01/30/2026)</t>
        </is>
      </c>
    </row>
    <row r="6" ht="18" customHeight="1">
      <c r="A6" s="1" t="inlineStr">
        <is>
          <t>CURRENT COVERAGE SNAPSHOT</t>
        </is>
      </c>
    </row>
    <row r="7">
      <c r="A7" s="5" t="inlineStr">
        <is>
          <t>Segment</t>
        </is>
      </c>
      <c r="B7" s="5" t="n">
        <v>187209834</v>
      </c>
      <c r="C7" s="5" t="n">
        <v>7034139</v>
      </c>
      <c r="D7" s="5" t="n">
        <v>0.0376</v>
      </c>
      <c r="E7" s="5" t="inlineStr">
        <is>
          <t>Notes</t>
        </is>
      </c>
    </row>
    <row r="8">
      <c r="A8" s="6" t="inlineStr">
        <is>
          <t>Commercial (incl. Federal)</t>
        </is>
      </c>
      <c r="B8" s="7" t="n">
        <v>15636175</v>
      </c>
      <c r="C8" s="7" t="n">
        <v>5879432</v>
      </c>
      <c r="D8" s="8" t="n">
        <v>0.376</v>
      </c>
      <c r="E8" s="6" t="inlineStr">
        <is>
          <t>Employer, PBM, HIX, FEHBP, VA, TRICARE</t>
        </is>
      </c>
    </row>
    <row r="9">
      <c r="A9" s="9" t="inlineStr">
        <is>
          <t xml:space="preserve">   └ Federal Programs</t>
        </is>
      </c>
      <c r="B9" s="10" t="n">
        <v>54278778</v>
      </c>
      <c r="C9" s="10" t="n">
        <v>0</v>
      </c>
      <c r="D9" s="11" t="n">
        <v>0</v>
      </c>
      <c r="E9" s="9" t="inlineStr">
        <is>
          <t>TRICARE, VA (subset of Commercial)</t>
        </is>
      </c>
    </row>
    <row r="10">
      <c r="A10" s="6" t="inlineStr">
        <is>
          <t>Medicare</t>
        </is>
      </c>
      <c r="B10" s="7" t="n">
        <v>73287278</v>
      </c>
      <c r="C10" s="7" t="n">
        <v>0</v>
      </c>
      <c r="D10" s="8" t="n">
        <v>0</v>
      </c>
      <c r="E10" s="6" t="inlineStr">
        <is>
          <t>Part D, MA, SNP, EGWP, PACE</t>
        </is>
      </c>
    </row>
    <row r="11">
      <c r="A11" s="6" t="inlineStr">
        <is>
          <t>Medicaid</t>
        </is>
      </c>
      <c r="B11" s="7" t="n">
        <v>314775891</v>
      </c>
      <c r="C11" s="7" t="n">
        <v>7034139</v>
      </c>
      <c r="D11" s="8" t="n">
        <v>0.0223</v>
      </c>
      <c r="E11" s="6" t="inlineStr">
        <is>
          <t>State, Managed, CHIP</t>
        </is>
      </c>
    </row>
    <row r="12">
      <c r="A12" s="12" t="inlineStr">
        <is>
          <t>TOTAL</t>
        </is>
      </c>
      <c r="B12" s="13" t="n">
        <v>314775891</v>
      </c>
      <c r="C12" s="13" t="n">
        <v>7034139</v>
      </c>
      <c r="D12" s="14" t="n">
        <v>0.0223</v>
      </c>
      <c r="E12" s="12" t="inlineStr">
        <is>
          <t>All Segments Combined</t>
        </is>
      </c>
    </row>
    <row r="14" ht="15.75" customHeight="1">
      <c r="A14" s="15" t="inlineStr">
        <is>
          <t>TOP PLANS DRIVING COVERAGE</t>
        </is>
      </c>
    </row>
    <row r="15">
      <c r="A15" s="16" t="inlineStr">
        <is>
          <t>TRICARE Uniform Formulary</t>
        </is>
      </c>
      <c r="B15" s="5" t="inlineStr">
        <is>
          <t>Fed Prog</t>
        </is>
      </c>
      <c r="C15" s="5" t="n">
        <v>5879432.999999998</v>
      </c>
      <c r="D15" s="5" t="inlineStr">
        <is>
          <t>(T3)</t>
        </is>
      </c>
    </row>
    <row r="16">
      <c r="A16" s="6" t="inlineStr">
        <is>
          <t>MGM Resorts International</t>
        </is>
      </c>
      <c r="B16" s="17" t="inlineStr">
        <is>
          <t>Employer</t>
        </is>
      </c>
      <c r="C16" s="18" t="n">
        <v>185337</v>
      </c>
      <c r="D16" s="17" t="inlineStr">
        <is>
          <t>(T3)</t>
        </is>
      </c>
    </row>
    <row r="17">
      <c r="A17" s="6" t="inlineStr">
        <is>
          <t>UnitedHealthcare Community Plan Essential</t>
        </is>
      </c>
      <c r="B17" s="17" t="inlineStr">
        <is>
          <t>HIX-Medicaid</t>
        </is>
      </c>
      <c r="C17" s="18" t="n">
        <v>174217</v>
      </c>
      <c r="D17" s="17" t="inlineStr">
        <is>
          <t>(T3)  (PA)</t>
        </is>
      </c>
    </row>
    <row r="18">
      <c r="A18" s="6" t="inlineStr">
        <is>
          <t>CHI Franciscan</t>
        </is>
      </c>
      <c r="B18" s="17" t="inlineStr">
        <is>
          <t>Employer</t>
        </is>
      </c>
      <c r="C18" s="18" t="n">
        <v>135877</v>
      </c>
      <c r="D18" s="17" t="inlineStr">
        <is>
          <t>(T3)</t>
        </is>
      </c>
    </row>
    <row r="19">
      <c r="A19" s="6" t="inlineStr">
        <is>
          <t>Apple</t>
        </is>
      </c>
      <c r="B19" s="17" t="inlineStr">
        <is>
          <t>Employer</t>
        </is>
      </c>
      <c r="C19" s="18" t="n">
        <v>118347</v>
      </c>
      <c r="D19" s="17" t="inlineStr">
        <is>
          <t>(T3)</t>
        </is>
      </c>
    </row>
    <row r="20">
      <c r="A20" s="6" t="inlineStr">
        <is>
          <t>State of Ohio</t>
        </is>
      </c>
      <c r="B20" s="17" t="inlineStr">
        <is>
          <t>Employer</t>
        </is>
      </c>
      <c r="C20" s="18" t="n">
        <v>105536</v>
      </c>
      <c r="D20" s="17" t="inlineStr">
        <is>
          <t>(T3)</t>
        </is>
      </c>
    </row>
    <row r="21">
      <c r="A21" s="6" t="inlineStr">
        <is>
          <t>General Electric</t>
        </is>
      </c>
      <c r="B21" s="17" t="inlineStr">
        <is>
          <t>Employer</t>
        </is>
      </c>
      <c r="C21" s="18" t="n">
        <v>98194</v>
      </c>
      <c r="D21" s="17" t="inlineStr">
        <is>
          <t>(T3)</t>
        </is>
      </c>
    </row>
    <row r="22">
      <c r="A22" s="6" t="inlineStr">
        <is>
          <t>State of Michigan</t>
        </is>
      </c>
      <c r="B22" s="17" t="inlineStr">
        <is>
          <t>Employer</t>
        </is>
      </c>
      <c r="C22" s="18" t="n">
        <v>95690</v>
      </c>
      <c r="D22" s="17" t="inlineStr">
        <is>
          <t>(T3)</t>
        </is>
      </c>
    </row>
    <row r="23">
      <c r="A23" s="6" t="inlineStr">
        <is>
          <t>Weis Markets</t>
        </is>
      </c>
      <c r="B23" s="17" t="inlineStr">
        <is>
          <t>Employer</t>
        </is>
      </c>
      <c r="C23" s="18" t="n">
        <v>40010</v>
      </c>
      <c r="D23" s="17" t="inlineStr">
        <is>
          <t>(T3)</t>
        </is>
      </c>
    </row>
    <row r="24">
      <c r="A24" s="6" t="inlineStr">
        <is>
          <t>Smithfield Foods</t>
        </is>
      </c>
      <c r="B24" s="17" t="inlineStr">
        <is>
          <t>Employer</t>
        </is>
      </c>
      <c r="C24" s="18" t="n">
        <v>23040</v>
      </c>
      <c r="D24" s="17" t="inlineStr">
        <is>
          <t>(T3)</t>
        </is>
      </c>
    </row>
    <row r="25">
      <c r="A25" s="6" t="inlineStr">
        <is>
          <t>Milwaukee Public Schools</t>
        </is>
      </c>
      <c r="B25" s="17" t="inlineStr">
        <is>
          <t>Employer</t>
        </is>
      </c>
      <c r="C25" s="18" t="n">
        <v>20363</v>
      </c>
      <c r="D25" s="17" t="inlineStr">
        <is>
          <t>(T3)</t>
        </is>
      </c>
    </row>
    <row r="26">
      <c r="A26" s="6" t="inlineStr">
        <is>
          <t>Men's Wearhouse</t>
        </is>
      </c>
      <c r="B26" s="17" t="inlineStr">
        <is>
          <t>Employer</t>
        </is>
      </c>
      <c r="C26" s="18" t="n">
        <v>16832</v>
      </c>
      <c r="D26" s="17" t="inlineStr">
        <is>
          <t>(T3)</t>
        </is>
      </c>
    </row>
    <row r="27">
      <c r="A27" s="6" t="inlineStr">
        <is>
          <t>Portland Adventist Medical Center</t>
        </is>
      </c>
      <c r="B27" s="17" t="inlineStr">
        <is>
          <t>Employer</t>
        </is>
      </c>
      <c r="C27" s="18" t="n">
        <v>15639</v>
      </c>
      <c r="D27" s="17" t="inlineStr">
        <is>
          <t>(T3)</t>
        </is>
      </c>
    </row>
    <row r="28">
      <c r="A28" s="6" t="inlineStr">
        <is>
          <t>International Longshore &amp; Warehouse Union - Pacific Maritime Association (ILWU-PMA)</t>
        </is>
      </c>
      <c r="B28" s="17" t="inlineStr">
        <is>
          <t>Employer</t>
        </is>
      </c>
      <c r="C28" s="18" t="n">
        <v>13977.35018524835</v>
      </c>
      <c r="D28" s="17" t="inlineStr">
        <is>
          <t>(T3)</t>
        </is>
      </c>
    </row>
    <row r="29">
      <c r="A29" s="6" t="inlineStr">
        <is>
          <t>Lear</t>
        </is>
      </c>
      <c r="B29" s="17" t="inlineStr">
        <is>
          <t>Employer</t>
        </is>
      </c>
      <c r="C29" s="18" t="n">
        <v>13195</v>
      </c>
      <c r="D29" s="17" t="inlineStr">
        <is>
          <t>(T3)</t>
        </is>
      </c>
    </row>
    <row r="30">
      <c r="A30" s="6" t="inlineStr">
        <is>
          <t>North Mississippi Health Services</t>
        </is>
      </c>
      <c r="B30" s="17" t="inlineStr">
        <is>
          <t>Employer</t>
        </is>
      </c>
      <c r="C30" s="18" t="n">
        <v>13074</v>
      </c>
      <c r="D30" s="17" t="inlineStr">
        <is>
          <t>(T3) Non-Preferred</t>
        </is>
      </c>
    </row>
  </sheetData>
  <mergeCells count="1">
    <mergeCell ref="A6:E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zoomScaleNormal="100" workbookViewId="0">
      <selection activeCell="A1" sqref="A1"/>
    </sheetView>
  </sheetViews>
  <sheetFormatPr baseColWidth="8" defaultColWidth="8.7109375" defaultRowHeight="15"/>
  <cols>
    <col width="18" customWidth="1" min="1" max="1"/>
    <col width="10" customWidth="1" min="2" max="17"/>
  </cols>
  <sheetData>
    <row r="1" ht="20.25" customHeight="1">
      <c r="A1" s="19" t="inlineStr">
        <is>
          <t>Cardamyst Monthly Coverage Tracking</t>
        </is>
      </c>
    </row>
    <row r="2">
      <c r="A2" s="20" t="inlineStr">
        <is>
          <t>Yellow cells = Update monthly with Clarivate data</t>
        </is>
      </c>
    </row>
    <row r="4" ht="18" customHeight="1">
      <c r="A4" s="1" t="inlineStr">
        <is>
          <t>COMMERCIAL (incl. Federal)</t>
        </is>
      </c>
    </row>
    <row r="5">
      <c r="A5" s="21" t="inlineStr">
        <is>
          <t>Month</t>
        </is>
      </c>
      <c r="B5" s="5" t="inlineStr">
        <is>
          <t>Jan-26</t>
        </is>
      </c>
      <c r="C5" s="5" t="inlineStr">
        <is>
          <t>Feb-26</t>
        </is>
      </c>
      <c r="D5" s="5" t="inlineStr">
        <is>
          <t>Mar-26</t>
        </is>
      </c>
      <c r="E5" s="5" t="inlineStr">
        <is>
          <t>Apr-26</t>
        </is>
      </c>
      <c r="F5" s="5" t="inlineStr">
        <is>
          <t>May-26</t>
        </is>
      </c>
      <c r="G5" s="5" t="inlineStr">
        <is>
          <t>Jun-26</t>
        </is>
      </c>
      <c r="H5" s="5" t="inlineStr">
        <is>
          <t>Jul-26</t>
        </is>
      </c>
      <c r="I5" s="5" t="inlineStr">
        <is>
          <t>Aug-26</t>
        </is>
      </c>
      <c r="J5" s="5" t="inlineStr">
        <is>
          <t>Sep-26</t>
        </is>
      </c>
      <c r="K5" s="5" t="inlineStr">
        <is>
          <t>Oct-26</t>
        </is>
      </c>
      <c r="L5" s="5" t="inlineStr">
        <is>
          <t>Nov-26</t>
        </is>
      </c>
      <c r="M5" s="5" t="inlineStr">
        <is>
          <t>Dec-26</t>
        </is>
      </c>
      <c r="N5" s="5" t="inlineStr">
        <is>
          <t>Jan-27</t>
        </is>
      </c>
      <c r="O5" s="5" t="inlineStr">
        <is>
          <t>Feb-27</t>
        </is>
      </c>
      <c r="P5" s="5" t="inlineStr">
        <is>
          <t>Mar-27</t>
        </is>
      </c>
    </row>
    <row r="6">
      <c r="A6" s="21" t="inlineStr">
        <is>
          <t>Forecast %</t>
        </is>
      </c>
      <c r="B6" s="22" t="n">
        <v>0.0376</v>
      </c>
      <c r="C6" s="22" t="n">
        <v>0</v>
      </c>
      <c r="D6" s="22" t="n">
        <v>0</v>
      </c>
      <c r="E6" s="22" t="n">
        <v>0.06</v>
      </c>
      <c r="F6" s="22" t="n">
        <v>0.11</v>
      </c>
      <c r="G6" s="22" t="n">
        <v>0.29</v>
      </c>
      <c r="H6" s="22" t="n">
        <v>0.44</v>
      </c>
      <c r="I6" s="22" t="n">
        <v>0.52</v>
      </c>
      <c r="J6" s="22" t="n">
        <v>0.58</v>
      </c>
      <c r="K6" s="22" t="n">
        <v>0.58</v>
      </c>
      <c r="L6" s="22" t="n">
        <v>0.58</v>
      </c>
      <c r="M6" s="22" t="n">
        <v>0.58</v>
      </c>
      <c r="N6" s="22" t="n">
        <v>0.71</v>
      </c>
      <c r="O6" s="22" t="n">
        <v>0.83</v>
      </c>
      <c r="P6" s="22" t="n">
        <v>0.84</v>
      </c>
    </row>
    <row r="7">
      <c r="A7" s="21" t="inlineStr">
        <is>
          <t>Actual %</t>
        </is>
      </c>
      <c r="B7" s="23" t="n">
        <v>0.03759999999999999</v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>
      <c r="A8" s="21" t="inlineStr">
        <is>
          <t>Variance (pp)</t>
        </is>
      </c>
      <c r="B8" s="24" t="n">
        <v>7034139</v>
      </c>
      <c r="C8" s="24">
        <f>IF(C7="","",(C7-C6))</f>
        <v/>
      </c>
      <c r="D8" s="24">
        <f>IF(D7="","",(D7-D6))</f>
        <v/>
      </c>
      <c r="E8" s="24">
        <f>IF(E7="","",(E7-E6))</f>
        <v/>
      </c>
      <c r="F8" s="24">
        <f>IF(F7="","",(F7-F6))</f>
        <v/>
      </c>
      <c r="G8" s="24">
        <f>IF(G7="","",(G7-G6))</f>
        <v/>
      </c>
      <c r="H8" s="24">
        <f>IF(H7="","",(H7-H6))</f>
        <v/>
      </c>
      <c r="I8" s="24">
        <f>IF(I7="","",(I7-I6))</f>
        <v/>
      </c>
      <c r="J8" s="24">
        <f>IF(J7="","",(J7-J6))</f>
        <v/>
      </c>
      <c r="K8" s="24">
        <f>IF(K7="","",(K7-K6))</f>
        <v/>
      </c>
      <c r="L8" s="24">
        <f>IF(L7="","",(L7-L6))</f>
        <v/>
      </c>
      <c r="M8" s="24">
        <f>IF(M7="","",(M7-M6))</f>
        <v/>
      </c>
      <c r="N8" s="24">
        <f>IF(N7="","",(N7-N6))</f>
        <v/>
      </c>
      <c r="O8" s="24">
        <f>IF(O7="","",(O7-O6))</f>
        <v/>
      </c>
      <c r="P8" s="24">
        <f>IF(P7="","",(P7-P6))</f>
        <v/>
      </c>
    </row>
    <row r="9">
      <c r="A9" s="21" t="inlineStr">
        <is>
          <t>Covered Lives</t>
        </is>
      </c>
      <c r="B9" s="25" t="n">
        <v>5879432</v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</row>
    <row r="10">
      <c r="A10" s="26" t="inlineStr">
        <is>
          <t xml:space="preserve">   └ Federal Lives</t>
        </is>
      </c>
      <c r="B10" s="27" t="n">
        <v>5879432</v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</row>
    <row r="12" ht="18" customHeight="1">
      <c r="A12" s="1" t="inlineStr">
        <is>
          <t>MEDICARE</t>
        </is>
      </c>
    </row>
    <row r="13">
      <c r="A13" s="21" t="inlineStr">
        <is>
          <t>Month</t>
        </is>
      </c>
      <c r="B13" s="5" t="n">
        <v>0</v>
      </c>
      <c r="C13" s="5" t="inlineStr">
        <is>
          <t>Feb-26</t>
        </is>
      </c>
      <c r="D13" s="5" t="inlineStr">
        <is>
          <t>Mar-26</t>
        </is>
      </c>
      <c r="E13" s="5" t="inlineStr">
        <is>
          <t>Apr-26</t>
        </is>
      </c>
      <c r="F13" s="5" t="inlineStr">
        <is>
          <t>May-26</t>
        </is>
      </c>
      <c r="G13" s="5" t="inlineStr">
        <is>
          <t>Jun-26</t>
        </is>
      </c>
      <c r="H13" s="5" t="inlineStr">
        <is>
          <t>Jul-26</t>
        </is>
      </c>
      <c r="I13" s="5" t="inlineStr">
        <is>
          <t>Aug-26</t>
        </is>
      </c>
      <c r="J13" s="5" t="inlineStr">
        <is>
          <t>Sep-26</t>
        </is>
      </c>
      <c r="K13" s="5" t="inlineStr">
        <is>
          <t>Oct-26</t>
        </is>
      </c>
      <c r="L13" s="5" t="inlineStr">
        <is>
          <t>Nov-26</t>
        </is>
      </c>
      <c r="M13" s="5" t="inlineStr">
        <is>
          <t>Dec-26</t>
        </is>
      </c>
      <c r="N13" s="5" t="inlineStr">
        <is>
          <t>Jan-27</t>
        </is>
      </c>
      <c r="O13" s="5" t="inlineStr">
        <is>
          <t>Feb-27</t>
        </is>
      </c>
      <c r="P13" s="5" t="inlineStr">
        <is>
          <t>Mar-27</t>
        </is>
      </c>
    </row>
    <row r="14">
      <c r="A14" s="21" t="inlineStr">
        <is>
          <t>Actual %</t>
        </is>
      </c>
      <c r="B14" s="23" t="n">
        <v>0</v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>
      <c r="A15" s="21" t="inlineStr">
        <is>
          <t>Covered Lives</t>
        </is>
      </c>
      <c r="B15" s="25" t="n">
        <v>0</v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</row>
    <row r="17" ht="18" customHeight="1">
      <c r="A17" s="1" t="inlineStr">
        <is>
          <t>MEDICAID</t>
        </is>
      </c>
    </row>
    <row r="18">
      <c r="A18" s="21" t="inlineStr">
        <is>
          <t>Month</t>
        </is>
      </c>
      <c r="B18" s="5" t="n">
        <v>0</v>
      </c>
      <c r="C18" s="5" t="inlineStr">
        <is>
          <t>Feb-26</t>
        </is>
      </c>
      <c r="D18" s="5" t="inlineStr">
        <is>
          <t>Mar-26</t>
        </is>
      </c>
      <c r="E18" s="5" t="inlineStr">
        <is>
          <t>Apr-26</t>
        </is>
      </c>
      <c r="F18" s="5" t="inlineStr">
        <is>
          <t>May-26</t>
        </is>
      </c>
      <c r="G18" s="5" t="inlineStr">
        <is>
          <t>Jun-26</t>
        </is>
      </c>
      <c r="H18" s="5" t="inlineStr">
        <is>
          <t>Jul-26</t>
        </is>
      </c>
      <c r="I18" s="5" t="inlineStr">
        <is>
          <t>Aug-26</t>
        </is>
      </c>
      <c r="J18" s="5" t="inlineStr">
        <is>
          <t>Sep-26</t>
        </is>
      </c>
      <c r="K18" s="5" t="inlineStr">
        <is>
          <t>Oct-26</t>
        </is>
      </c>
      <c r="L18" s="5" t="inlineStr">
        <is>
          <t>Nov-26</t>
        </is>
      </c>
      <c r="M18" s="5" t="inlineStr">
        <is>
          <t>Dec-26</t>
        </is>
      </c>
      <c r="N18" s="5" t="inlineStr">
        <is>
          <t>Jan-27</t>
        </is>
      </c>
      <c r="O18" s="5" t="inlineStr">
        <is>
          <t>Feb-27</t>
        </is>
      </c>
      <c r="P18" s="5" t="inlineStr">
        <is>
          <t>Mar-27</t>
        </is>
      </c>
    </row>
    <row r="19">
      <c r="A19" s="21" t="inlineStr">
        <is>
          <t>Actual %</t>
        </is>
      </c>
      <c r="B19" s="23" t="n">
        <v>0</v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</row>
    <row r="20">
      <c r="A20" s="21" t="inlineStr">
        <is>
          <t>Covered Lives</t>
        </is>
      </c>
      <c r="B20" s="25" t="n">
        <v>0</v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</row>
    <row r="22" ht="18" customHeight="1">
      <c r="A22" s="1" t="inlineStr">
        <is>
          <t>TOTAL (ALL SEGMENTS)</t>
        </is>
      </c>
    </row>
    <row r="23">
      <c r="A23" s="21" t="inlineStr">
        <is>
          <t>Month</t>
        </is>
      </c>
      <c r="B23" s="5" t="inlineStr">
        <is>
          <t>Jan-26</t>
        </is>
      </c>
      <c r="C23" s="5" t="inlineStr">
        <is>
          <t>Feb-26</t>
        </is>
      </c>
      <c r="D23" s="5" t="inlineStr">
        <is>
          <t>Mar-26</t>
        </is>
      </c>
      <c r="E23" s="5" t="inlineStr">
        <is>
          <t>Apr-26</t>
        </is>
      </c>
      <c r="F23" s="5" t="inlineStr">
        <is>
          <t>May-26</t>
        </is>
      </c>
      <c r="G23" s="5" t="inlineStr">
        <is>
          <t>Jun-26</t>
        </is>
      </c>
      <c r="H23" s="5" t="inlineStr">
        <is>
          <t>Jul-26</t>
        </is>
      </c>
      <c r="I23" s="5" t="inlineStr">
        <is>
          <t>Aug-26</t>
        </is>
      </c>
      <c r="J23" s="5" t="inlineStr">
        <is>
          <t>Sep-26</t>
        </is>
      </c>
      <c r="K23" s="5" t="inlineStr">
        <is>
          <t>Oct-26</t>
        </is>
      </c>
      <c r="L23" s="5" t="inlineStr">
        <is>
          <t>Nov-26</t>
        </is>
      </c>
      <c r="M23" s="5" t="inlineStr">
        <is>
          <t>Dec-26</t>
        </is>
      </c>
      <c r="N23" s="5" t="inlineStr">
        <is>
          <t>Jan-27</t>
        </is>
      </c>
      <c r="O23" s="5" t="inlineStr">
        <is>
          <t>Feb-27</t>
        </is>
      </c>
      <c r="P23" s="5" t="inlineStr">
        <is>
          <t>Mar-27</t>
        </is>
      </c>
    </row>
    <row r="24">
      <c r="A24" s="21" t="inlineStr">
        <is>
          <t>Actual %</t>
        </is>
      </c>
      <c r="B24" s="28">
        <f>IF(B25="","",B25/316692798.187381)</f>
        <v/>
      </c>
      <c r="C24" s="28">
        <f>IF(C25="","",C25/316692798.187381)</f>
        <v/>
      </c>
      <c r="D24" s="28">
        <f>IF(D25="","",D25/316692798.187381)</f>
        <v/>
      </c>
      <c r="E24" s="28">
        <f>IF(E25="","",E25/316692798.187381)</f>
        <v/>
      </c>
      <c r="F24" s="28">
        <f>IF(F25="","",F25/316692798.187381)</f>
        <v/>
      </c>
      <c r="G24" s="28">
        <f>IF(G25="","",G25/316692798.187381)</f>
        <v/>
      </c>
      <c r="H24" s="28">
        <f>IF(H25="","",H25/316692798.187381)</f>
        <v/>
      </c>
      <c r="I24" s="28">
        <f>IF(I25="","",I25/316692798.187381)</f>
        <v/>
      </c>
      <c r="J24" s="28">
        <f>IF(J25="","",J25/316692798.187381)</f>
        <v/>
      </c>
      <c r="K24" s="28">
        <f>IF(K25="","",K25/316692798.187381)</f>
        <v/>
      </c>
      <c r="L24" s="28">
        <f>IF(L25="","",L25/316692798.187381)</f>
        <v/>
      </c>
      <c r="M24" s="28">
        <f>IF(M25="","",M25/316692798.187381)</f>
        <v/>
      </c>
      <c r="N24" s="28">
        <f>IF(N25="","",N25/316692798.187381)</f>
        <v/>
      </c>
      <c r="O24" s="28">
        <f>IF(O25="","",O25/316692798.187381)</f>
        <v/>
      </c>
      <c r="P24" s="28">
        <f>IF(P25="","",P25/316692798.187381)</f>
        <v/>
      </c>
    </row>
    <row r="25">
      <c r="A25" s="21" t="inlineStr">
        <is>
          <t>Covered Lives</t>
        </is>
      </c>
      <c r="B25" s="29">
        <f>IF(AND(B9="",B15="",B20=""),"",IF(B9="",0,B9)+IF(B15="",0,B15)+IF(B20="",0,B20))</f>
        <v/>
      </c>
      <c r="C25" s="29">
        <f>IF(AND(C9="",C15="",C20=""),"",IF(C9="",0,C9)+IF(C15="",0,C15)+IF(C20="",0,C20))</f>
        <v/>
      </c>
      <c r="D25" s="29">
        <f>IF(AND(D9="",D15="",D20=""),"",IF(D9="",0,D9)+IF(D15="",0,D15)+IF(D20="",0,D20))</f>
        <v/>
      </c>
      <c r="E25" s="29">
        <f>IF(AND(E9="",E15="",E20=""),"",IF(E9="",0,E9)+IF(E15="",0,E15)+IF(E20="",0,E20))</f>
        <v/>
      </c>
      <c r="F25" s="29">
        <f>IF(AND(F9="",F15="",F20=""),"",IF(F9="",0,F9)+IF(F15="",0,F15)+IF(F20="",0,F20))</f>
        <v/>
      </c>
      <c r="G25" s="29">
        <f>IF(AND(G9="",G15="",G20=""),"",IF(G9="",0,G9)+IF(G15="",0,G15)+IF(G20="",0,G20))</f>
        <v/>
      </c>
      <c r="H25" s="29">
        <f>IF(AND(H9="",H15="",H20=""),"",IF(H9="",0,H9)+IF(H15="",0,H15)+IF(H20="",0,H20))</f>
        <v/>
      </c>
      <c r="I25" s="29">
        <f>IF(AND(I9="",I15="",I20=""),"",IF(I9="",0,I9)+IF(I15="",0,I15)+IF(I20="",0,I20))</f>
        <v/>
      </c>
      <c r="J25" s="29">
        <f>IF(AND(J9="",J15="",J20=""),"",IF(J9="",0,J9)+IF(J15="",0,J15)+IF(J20="",0,J20))</f>
        <v/>
      </c>
      <c r="K25" s="29">
        <f>IF(AND(K9="",K15="",K20=""),"",IF(K9="",0,K9)+IF(K15="",0,K15)+IF(K20="",0,K20))</f>
        <v/>
      </c>
      <c r="L25" s="29">
        <f>IF(AND(L9="",L15="",L20=""),"",IF(L9="",0,L9)+IF(L15="",0,L15)+IF(L20="",0,L20))</f>
        <v/>
      </c>
      <c r="M25" s="29">
        <f>IF(AND(M9="",M15="",M20=""),"",IF(M9="",0,M9)+IF(M15="",0,M15)+IF(M20="",0,M20))</f>
        <v/>
      </c>
      <c r="N25" s="29">
        <f>IF(AND(N9="",N15="",N20=""),"",IF(N9="",0,N9)+IF(N15="",0,N15)+IF(N20="",0,N20))</f>
        <v/>
      </c>
      <c r="O25" s="29">
        <f>IF(AND(O9="",O15="",O20=""),"",IF(O9="",0,O9)+IF(O15="",0,O15)+IF(O20="",0,O20))</f>
        <v/>
      </c>
      <c r="P25" s="29">
        <f>IF(AND(P9="",P15="",P20=""),"",IF(P9="",0,P9)+IF(P15="",0,P15)+IF(P20="",0,P20))</f>
        <v/>
      </c>
    </row>
  </sheetData>
  <mergeCells count="4">
    <mergeCell ref="A22:Q22"/>
    <mergeCell ref="A17:Q17"/>
    <mergeCell ref="A4:Q4"/>
    <mergeCell ref="A12:Q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C1" sqref="C1:C1048576"/>
    </sheetView>
  </sheetViews>
  <sheetFormatPr baseColWidth="8" defaultColWidth="8.7109375" defaultRowHeight="15"/>
  <cols>
    <col width="16.42578125" bestFit="1" customWidth="1" min="1" max="1"/>
    <col width="16.5703125" bestFit="1" customWidth="1" min="2" max="2"/>
    <col width="14.42578125" bestFit="1" customWidth="1" min="3" max="3"/>
  </cols>
  <sheetData>
    <row r="1">
      <c r="A1" s="30" t="n"/>
    </row>
    <row r="3">
      <c r="A3" s="31" t="inlineStr">
        <is>
          <t>Month</t>
        </is>
      </c>
      <c r="B3" s="31" t="inlineStr">
        <is>
          <t>Comm Forecast</t>
        </is>
      </c>
      <c r="C3" s="31" t="n">
        <v>0.0376</v>
      </c>
      <c r="D3" s="31" t="n">
        <v>0</v>
      </c>
      <c r="E3" s="31" t="n">
        <v>0</v>
      </c>
      <c r="F3" s="31" t="n">
        <v>0.0223</v>
      </c>
    </row>
    <row r="4">
      <c r="A4" t="inlineStr">
        <is>
          <t>Jan-26</t>
        </is>
      </c>
      <c r="B4" s="32" t="n">
        <v>0</v>
      </c>
      <c r="C4" s="33" t="n">
        <v>0.03759999999999999</v>
      </c>
      <c r="D4" s="33" t="n">
        <v>0</v>
      </c>
      <c r="E4" s="33" t="n">
        <v>0</v>
      </c>
      <c r="F4" s="33" t="n">
        <v>0.0223</v>
      </c>
    </row>
    <row r="5">
      <c r="A5" t="inlineStr">
        <is>
          <t>Feb-26</t>
        </is>
      </c>
      <c r="B5" s="32" t="n">
        <v>0</v>
      </c>
      <c r="C5" s="33">
        <f>'Monthly Tracking'!C7</f>
        <v/>
      </c>
      <c r="D5" s="33">
        <f>'Monthly Tracking'!C14</f>
        <v/>
      </c>
      <c r="E5" s="33">
        <f>'Monthly Tracking'!C19</f>
        <v/>
      </c>
      <c r="F5" s="33">
        <f>'Monthly Tracking'!C24</f>
        <v/>
      </c>
    </row>
    <row r="6">
      <c r="A6" t="inlineStr">
        <is>
          <t>Mar-26</t>
        </is>
      </c>
      <c r="B6" s="32" t="n">
        <v>0</v>
      </c>
      <c r="C6" s="33">
        <f>'Monthly Tracking'!D7</f>
        <v/>
      </c>
      <c r="D6" s="33">
        <f>'Monthly Tracking'!D14</f>
        <v/>
      </c>
      <c r="E6" s="33">
        <f>'Monthly Tracking'!D19</f>
        <v/>
      </c>
      <c r="F6" s="33">
        <f>'Monthly Tracking'!D24</f>
        <v/>
      </c>
    </row>
    <row r="7">
      <c r="A7" t="inlineStr">
        <is>
          <t>Apr-26</t>
        </is>
      </c>
      <c r="B7" s="32" t="n">
        <v>0.06</v>
      </c>
      <c r="C7" s="33">
        <f>'Monthly Tracking'!E7</f>
        <v/>
      </c>
      <c r="D7" s="33">
        <f>'Monthly Tracking'!E14</f>
        <v/>
      </c>
      <c r="E7" s="33">
        <f>'Monthly Tracking'!E19</f>
        <v/>
      </c>
      <c r="F7" s="33">
        <f>'Monthly Tracking'!E24</f>
        <v/>
      </c>
    </row>
    <row r="8">
      <c r="A8" t="inlineStr">
        <is>
          <t>May-26</t>
        </is>
      </c>
      <c r="B8" s="32" t="n">
        <v>0.11</v>
      </c>
      <c r="C8" s="33">
        <f>'Monthly Tracking'!F7</f>
        <v/>
      </c>
      <c r="D8" s="33">
        <f>'Monthly Tracking'!F14</f>
        <v/>
      </c>
      <c r="E8" s="33">
        <f>'Monthly Tracking'!F19</f>
        <v/>
      </c>
      <c r="F8" s="33">
        <f>'Monthly Tracking'!F24</f>
        <v/>
      </c>
    </row>
    <row r="9">
      <c r="A9" t="inlineStr">
        <is>
          <t>Jun-26</t>
        </is>
      </c>
      <c r="B9" s="32" t="n">
        <v>0.29</v>
      </c>
      <c r="C9" s="33">
        <f>'Monthly Tracking'!G7</f>
        <v/>
      </c>
      <c r="D9" s="33">
        <f>'Monthly Tracking'!G14</f>
        <v/>
      </c>
      <c r="E9" s="33">
        <f>'Monthly Tracking'!G19</f>
        <v/>
      </c>
      <c r="F9" s="33">
        <f>'Monthly Tracking'!G24</f>
        <v/>
      </c>
    </row>
    <row r="10">
      <c r="A10" t="inlineStr">
        <is>
          <t>Jul-26</t>
        </is>
      </c>
      <c r="B10" s="32" t="n">
        <v>0.44</v>
      </c>
      <c r="C10" s="33">
        <f>'Monthly Tracking'!H7</f>
        <v/>
      </c>
      <c r="D10" s="33">
        <f>'Monthly Tracking'!H14</f>
        <v/>
      </c>
      <c r="E10" s="33">
        <f>'Monthly Tracking'!H19</f>
        <v/>
      </c>
      <c r="F10" s="33">
        <f>'Monthly Tracking'!H24</f>
        <v/>
      </c>
    </row>
    <row r="11">
      <c r="A11" t="inlineStr">
        <is>
          <t>Aug-26</t>
        </is>
      </c>
      <c r="B11" s="32" t="n">
        <v>0.52</v>
      </c>
      <c r="C11" s="33">
        <f>'Monthly Tracking'!I7</f>
        <v/>
      </c>
      <c r="D11" s="33">
        <f>'Monthly Tracking'!I14</f>
        <v/>
      </c>
      <c r="E11" s="33">
        <f>'Monthly Tracking'!I19</f>
        <v/>
      </c>
      <c r="F11" s="33">
        <f>'Monthly Tracking'!I24</f>
        <v/>
      </c>
    </row>
    <row r="12">
      <c r="A12" t="inlineStr">
        <is>
          <t>Sep-26</t>
        </is>
      </c>
      <c r="B12" s="32" t="n">
        <v>0.58</v>
      </c>
      <c r="C12" s="33">
        <f>'Monthly Tracking'!J7</f>
        <v/>
      </c>
      <c r="D12" s="33">
        <f>'Monthly Tracking'!J14</f>
        <v/>
      </c>
      <c r="E12" s="33">
        <f>'Monthly Tracking'!J19</f>
        <v/>
      </c>
      <c r="F12" s="33">
        <f>'Monthly Tracking'!J24</f>
        <v/>
      </c>
    </row>
    <row r="13">
      <c r="A13" t="inlineStr">
        <is>
          <t>Oct-26</t>
        </is>
      </c>
      <c r="B13" s="32" t="n">
        <v>0.58</v>
      </c>
      <c r="C13" s="33">
        <f>'Monthly Tracking'!K7</f>
        <v/>
      </c>
      <c r="D13" s="33">
        <f>'Monthly Tracking'!K14</f>
        <v/>
      </c>
      <c r="E13" s="33">
        <f>'Monthly Tracking'!K19</f>
        <v/>
      </c>
      <c r="F13" s="33">
        <f>'Monthly Tracking'!K24</f>
        <v/>
      </c>
    </row>
    <row r="14">
      <c r="A14" t="inlineStr">
        <is>
          <t>Nov-26</t>
        </is>
      </c>
      <c r="B14" s="32" t="n">
        <v>0.58</v>
      </c>
      <c r="C14" s="33">
        <f>'Monthly Tracking'!L7</f>
        <v/>
      </c>
      <c r="D14" s="33">
        <f>'Monthly Tracking'!L14</f>
        <v/>
      </c>
      <c r="E14" s="33">
        <f>'Monthly Tracking'!L19</f>
        <v/>
      </c>
      <c r="F14" s="33">
        <f>'Monthly Tracking'!L24</f>
        <v/>
      </c>
    </row>
    <row r="15">
      <c r="A15" t="inlineStr">
        <is>
          <t>Dec-26</t>
        </is>
      </c>
      <c r="B15" s="32" t="n">
        <v>0.58</v>
      </c>
      <c r="C15" s="33">
        <f>'Monthly Tracking'!M7</f>
        <v/>
      </c>
      <c r="D15" s="33">
        <f>'Monthly Tracking'!M14</f>
        <v/>
      </c>
      <c r="E15" s="33">
        <f>'Monthly Tracking'!M19</f>
        <v/>
      </c>
      <c r="F15" s="33">
        <f>'Monthly Tracking'!M24</f>
        <v/>
      </c>
    </row>
    <row r="16">
      <c r="A16" t="inlineStr">
        <is>
          <t>Jan-27</t>
        </is>
      </c>
      <c r="B16" s="32" t="n">
        <v>0.71</v>
      </c>
      <c r="C16" s="33">
        <f>'Monthly Tracking'!N7</f>
        <v/>
      </c>
      <c r="D16" s="33">
        <f>'Monthly Tracking'!N14</f>
        <v/>
      </c>
      <c r="E16" s="33">
        <f>'Monthly Tracking'!N19</f>
        <v/>
      </c>
      <c r="F16" s="33">
        <f>'Monthly Tracking'!N24</f>
        <v/>
      </c>
    </row>
    <row r="17">
      <c r="A17" t="inlineStr">
        <is>
          <t>Feb-27</t>
        </is>
      </c>
      <c r="B17" s="32" t="n">
        <v>0.83</v>
      </c>
      <c r="C17" s="33">
        <f>'Monthly Tracking'!O7</f>
        <v/>
      </c>
      <c r="D17" s="33">
        <f>'Monthly Tracking'!O14</f>
        <v/>
      </c>
      <c r="E17" s="33">
        <f>'Monthly Tracking'!O19</f>
        <v/>
      </c>
      <c r="F17" s="33">
        <f>'Monthly Tracking'!O24</f>
        <v/>
      </c>
    </row>
    <row r="18">
      <c r="A18" t="inlineStr">
        <is>
          <t>Mar-27</t>
        </is>
      </c>
      <c r="B18" s="32" t="n">
        <v>0.84</v>
      </c>
      <c r="C18" s="33">
        <f>'Monthly Tracking'!P7</f>
        <v/>
      </c>
      <c r="D18" s="33">
        <f>'Monthly Tracking'!P14</f>
        <v/>
      </c>
      <c r="E18" s="33">
        <f>'Monthly Tracking'!P19</f>
        <v/>
      </c>
      <c r="F18" s="33">
        <f>'Monthly Tracking'!P24</f>
        <v/>
      </c>
    </row>
    <row r="22">
      <c r="A22" t="inlineStr">
        <is>
          <t>Current Snapshot</t>
        </is>
      </c>
    </row>
    <row r="23">
      <c r="A23" s="4" t="inlineStr">
        <is>
          <t>Segment</t>
        </is>
      </c>
      <c r="B23" s="4" t="n">
        <v>0.037574</v>
      </c>
    </row>
    <row r="24">
      <c r="A24" t="inlineStr">
        <is>
          <t>Commercial</t>
        </is>
      </c>
      <c r="B24" s="33" t="n">
        <v>0</v>
      </c>
    </row>
    <row r="25">
      <c r="A25" t="inlineStr">
        <is>
          <t>Medicare</t>
        </is>
      </c>
      <c r="B25" s="33" t="n">
        <v>0</v>
      </c>
    </row>
    <row r="26">
      <c r="A26" t="inlineStr">
        <is>
          <t>Medicaid</t>
        </is>
      </c>
      <c r="B26" s="33" t="n">
        <v>0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selection activeCell="C55" sqref="C55"/>
    </sheetView>
  </sheetViews>
  <sheetFormatPr baseColWidth="8" defaultColWidth="8.7109375" defaultRowHeight="15"/>
  <cols>
    <col width="18" customWidth="1" min="1" max="1"/>
    <col width="55" customWidth="1" min="2" max="2"/>
    <col width="18" customWidth="1" min="3" max="3"/>
    <col width="35" customWidth="1" min="4" max="4"/>
    <col width="15" customWidth="1" min="5" max="5"/>
    <col width="25" customWidth="1" min="6" max="6"/>
  </cols>
  <sheetData>
    <row r="1" ht="18" customHeight="1">
      <c r="A1" s="34" t="inlineStr">
        <is>
          <t>Plans with Cardamyst Coverage</t>
        </is>
      </c>
    </row>
    <row r="2">
      <c r="A2" s="35" t="inlineStr">
        <is>
          <t>Total: 10 plans covering 7,034,139 lives</t>
        </is>
      </c>
    </row>
    <row r="4">
      <c r="A4" s="21" t="inlineStr">
        <is>
          <t>Commercial (Federal)</t>
        </is>
      </c>
      <c r="B4" s="21" t="inlineStr">
        <is>
          <t>TRICARE Uniform Formulary</t>
        </is>
      </c>
      <c r="C4" s="21" t="inlineStr">
        <is>
          <t>Fed Prog</t>
        </is>
      </c>
      <c r="D4" s="21" t="inlineStr">
        <is>
          <t>Payer Name</t>
        </is>
      </c>
      <c r="E4" s="21" t="n">
        <v>5879432.999999998</v>
      </c>
      <c r="F4" s="21" t="inlineStr">
        <is>
          <t>(T3)</t>
        </is>
      </c>
    </row>
    <row r="5">
      <c r="A5" s="36" t="inlineStr">
        <is>
          <t>Commercial</t>
        </is>
      </c>
      <c r="B5" s="36" t="inlineStr">
        <is>
          <t>MGM Resorts International</t>
        </is>
      </c>
      <c r="C5" s="36" t="inlineStr">
        <is>
          <t>Employer</t>
        </is>
      </c>
      <c r="D5" s="36" t="inlineStr"/>
      <c r="E5" s="37" t="n">
        <v>185337</v>
      </c>
      <c r="F5" s="36" t="inlineStr">
        <is>
          <t>(T3)</t>
        </is>
      </c>
    </row>
    <row r="6">
      <c r="A6" s="6" t="inlineStr">
        <is>
          <t>Commercial</t>
        </is>
      </c>
      <c r="B6" s="6" t="inlineStr">
        <is>
          <t>UnitedHealthcare Community Plan Essential</t>
        </is>
      </c>
      <c r="C6" s="6" t="inlineStr">
        <is>
          <t>HIX-Medicaid</t>
        </is>
      </c>
      <c r="D6" s="6" t="inlineStr"/>
      <c r="E6" s="7" t="n">
        <v>174217</v>
      </c>
      <c r="F6" s="6" t="inlineStr">
        <is>
          <t>(T3)  (PA)</t>
        </is>
      </c>
    </row>
    <row r="7">
      <c r="A7" s="6" t="inlineStr">
        <is>
          <t>Commercial</t>
        </is>
      </c>
      <c r="B7" s="6" t="inlineStr">
        <is>
          <t>CHI Franciscan</t>
        </is>
      </c>
      <c r="C7" s="6" t="inlineStr">
        <is>
          <t>Employer</t>
        </is>
      </c>
      <c r="D7" s="6" t="inlineStr"/>
      <c r="E7" s="7" t="n">
        <v>135877</v>
      </c>
      <c r="F7" s="6" t="inlineStr">
        <is>
          <t>(T3)</t>
        </is>
      </c>
    </row>
    <row r="8">
      <c r="A8" s="6" t="inlineStr">
        <is>
          <t>Commercial</t>
        </is>
      </c>
      <c r="B8" s="6" t="inlineStr">
        <is>
          <t>Apple</t>
        </is>
      </c>
      <c r="C8" s="6" t="inlineStr">
        <is>
          <t>Employer</t>
        </is>
      </c>
      <c r="D8" s="6" t="inlineStr"/>
      <c r="E8" s="7" t="n">
        <v>118347</v>
      </c>
      <c r="F8" s="6" t="inlineStr">
        <is>
          <t>(T3)</t>
        </is>
      </c>
    </row>
    <row r="9">
      <c r="A9" s="6" t="inlineStr">
        <is>
          <t>Commercial</t>
        </is>
      </c>
      <c r="B9" s="6" t="inlineStr">
        <is>
          <t>State of Ohio</t>
        </is>
      </c>
      <c r="C9" s="6" t="inlineStr">
        <is>
          <t>Employer</t>
        </is>
      </c>
      <c r="D9" s="6" t="inlineStr"/>
      <c r="E9" s="7" t="n">
        <v>105536</v>
      </c>
      <c r="F9" s="6" t="inlineStr">
        <is>
          <t>(T3)</t>
        </is>
      </c>
    </row>
    <row r="10">
      <c r="A10" s="6" t="inlineStr">
        <is>
          <t>Commercial</t>
        </is>
      </c>
      <c r="B10" s="6" t="inlineStr">
        <is>
          <t>General Electric</t>
        </is>
      </c>
      <c r="C10" s="6" t="inlineStr">
        <is>
          <t>Employer</t>
        </is>
      </c>
      <c r="D10" s="6" t="inlineStr"/>
      <c r="E10" s="7" t="n">
        <v>98194</v>
      </c>
      <c r="F10" s="6" t="inlineStr">
        <is>
          <t>(T3)</t>
        </is>
      </c>
    </row>
    <row r="11">
      <c r="A11" s="6" t="inlineStr">
        <is>
          <t>Commercial</t>
        </is>
      </c>
      <c r="B11" s="6" t="inlineStr">
        <is>
          <t>State of Michigan</t>
        </is>
      </c>
      <c r="C11" s="6" t="inlineStr">
        <is>
          <t>Employer</t>
        </is>
      </c>
      <c r="D11" s="6" t="inlineStr"/>
      <c r="E11" s="7" t="n">
        <v>95690</v>
      </c>
      <c r="F11" s="6" t="inlineStr">
        <is>
          <t>(T3)</t>
        </is>
      </c>
    </row>
    <row r="12">
      <c r="A12" s="6" t="inlineStr">
        <is>
          <t>Commercial</t>
        </is>
      </c>
      <c r="B12" s="6" t="inlineStr">
        <is>
          <t>Weis Markets</t>
        </is>
      </c>
      <c r="C12" s="6" t="inlineStr">
        <is>
          <t>Employer</t>
        </is>
      </c>
      <c r="D12" s="6" t="inlineStr"/>
      <c r="E12" s="7" t="n">
        <v>40010</v>
      </c>
      <c r="F12" s="6" t="inlineStr">
        <is>
          <t>(T3)</t>
        </is>
      </c>
    </row>
    <row r="13">
      <c r="A13" s="6" t="inlineStr">
        <is>
          <t>Commercial</t>
        </is>
      </c>
      <c r="B13" s="6" t="inlineStr">
        <is>
          <t>Smithfield Foods</t>
        </is>
      </c>
      <c r="C13" s="6" t="inlineStr">
        <is>
          <t>Employer</t>
        </is>
      </c>
      <c r="D13" s="6" t="inlineStr"/>
      <c r="E13" s="7" t="n">
        <v>23040</v>
      </c>
      <c r="F13" s="6" t="inlineStr">
        <is>
          <t>(T3)</t>
        </is>
      </c>
    </row>
    <row r="14">
      <c r="A14" s="6" t="inlineStr">
        <is>
          <t>Commercial</t>
        </is>
      </c>
      <c r="B14" s="6" t="inlineStr">
        <is>
          <t>Smithfield Foods</t>
        </is>
      </c>
      <c r="C14" s="6" t="inlineStr">
        <is>
          <t>Employer</t>
        </is>
      </c>
      <c r="D14" s="6" t="inlineStr"/>
      <c r="E14" s="7" t="n">
        <v>23040</v>
      </c>
      <c r="F14" s="6" t="inlineStr">
        <is>
          <t>(T3)</t>
        </is>
      </c>
    </row>
    <row r="15">
      <c r="A15" s="6" t="n"/>
      <c r="B15" s="6" t="n"/>
      <c r="C15" s="6" t="n"/>
      <c r="D15" s="6" t="n"/>
      <c r="E15" s="7" t="n"/>
      <c r="F15" s="6" t="n"/>
    </row>
    <row r="16">
      <c r="A16" s="6" t="n"/>
      <c r="B16" s="6" t="n"/>
      <c r="C16" s="6" t="n"/>
      <c r="D16" s="6" t="n"/>
      <c r="E16" s="7" t="n"/>
      <c r="F16" s="6" t="n"/>
    </row>
    <row r="17">
      <c r="A17" s="6" t="n"/>
      <c r="B17" s="6" t="n"/>
      <c r="C17" s="6" t="n"/>
      <c r="D17" s="6" t="n"/>
      <c r="E17" s="7" t="n"/>
      <c r="F17" s="6" t="n"/>
    </row>
    <row r="18">
      <c r="A18" s="6" t="n"/>
      <c r="B18" s="6" t="n"/>
      <c r="C18" s="6" t="n"/>
      <c r="D18" s="6" t="n"/>
      <c r="E18" s="7" t="n"/>
      <c r="F18" s="6" t="n"/>
    </row>
    <row r="19">
      <c r="A19" s="6" t="n"/>
      <c r="B19" s="6" t="n"/>
      <c r="C19" s="6" t="n"/>
      <c r="D19" s="6" t="n"/>
      <c r="E19" s="7" t="n"/>
      <c r="F19" s="6" t="n"/>
    </row>
    <row r="20">
      <c r="A20" s="6" t="n"/>
      <c r="B20" s="6" t="n"/>
      <c r="C20" s="6" t="n"/>
      <c r="D20" s="6" t="n"/>
      <c r="E20" s="7" t="n"/>
      <c r="F20" s="6" t="n"/>
    </row>
    <row r="21">
      <c r="A21" s="6" t="n"/>
      <c r="B21" s="6" t="n"/>
      <c r="C21" s="6" t="n"/>
      <c r="D21" s="6" t="n"/>
      <c r="E21" s="7" t="n"/>
      <c r="F21" s="6" t="n"/>
    </row>
    <row r="22">
      <c r="A22" s="6" t="n"/>
      <c r="B22" s="6" t="n"/>
      <c r="C22" s="6" t="n"/>
      <c r="D22" s="6" t="n"/>
      <c r="E22" s="7" t="n"/>
      <c r="F22" s="6" t="n"/>
    </row>
    <row r="23">
      <c r="A23" s="6" t="n"/>
      <c r="B23" s="6" t="n"/>
      <c r="C23" s="6" t="n"/>
      <c r="D23" s="6" t="n"/>
      <c r="E23" s="7" t="n"/>
      <c r="F23" s="6" t="n"/>
    </row>
    <row r="24">
      <c r="A24" s="6" t="n"/>
      <c r="B24" s="6" t="n"/>
      <c r="C24" s="6" t="n"/>
      <c r="D24" s="6" t="n"/>
      <c r="E24" s="7" t="n"/>
      <c r="F24" s="6" t="n"/>
    </row>
    <row r="25">
      <c r="A25" s="6" t="n"/>
      <c r="B25" s="6" t="n"/>
      <c r="C25" s="6" t="n"/>
      <c r="D25" s="6" t="n"/>
      <c r="E25" s="7" t="n"/>
      <c r="F25" s="6" t="n"/>
    </row>
    <row r="26">
      <c r="A26" s="6" t="n"/>
      <c r="B26" s="6" t="n"/>
      <c r="C26" s="6" t="n"/>
      <c r="D26" s="6" t="n"/>
      <c r="E26" s="7" t="n"/>
      <c r="F26" s="6" t="n"/>
    </row>
    <row r="27">
      <c r="A27" s="6" t="n"/>
      <c r="B27" s="6" t="n"/>
      <c r="C27" s="6" t="n"/>
      <c r="D27" s="6" t="n"/>
      <c r="E27" s="7" t="n"/>
      <c r="F27" s="6" t="n"/>
    </row>
    <row r="28">
      <c r="A28" s="6" t="n"/>
      <c r="B28" s="6" t="n"/>
      <c r="C28" s="6" t="n"/>
      <c r="D28" s="6" t="n"/>
      <c r="E28" s="7" t="n"/>
      <c r="F28" s="6" t="n"/>
    </row>
    <row r="29">
      <c r="A29" s="6" t="n"/>
      <c r="B29" s="6" t="n"/>
      <c r="C29" s="6" t="n"/>
      <c r="D29" s="6" t="n"/>
      <c r="E29" s="7" t="n"/>
      <c r="F29" s="6" t="n"/>
    </row>
    <row r="30">
      <c r="A30" s="6" t="n"/>
      <c r="B30" s="6" t="n"/>
      <c r="C30" s="6" t="n"/>
      <c r="D30" s="6" t="n"/>
      <c r="E30" s="7" t="n"/>
      <c r="F30" s="6" t="n"/>
    </row>
    <row r="31">
      <c r="A31" s="6" t="n"/>
      <c r="B31" s="6" t="n"/>
      <c r="C31" s="6" t="n"/>
      <c r="D31" s="6" t="n"/>
      <c r="E31" s="7" t="n"/>
      <c r="F31" s="6" t="n"/>
    </row>
    <row r="32">
      <c r="A32" s="6" t="n"/>
      <c r="B32" s="6" t="n"/>
      <c r="C32" s="6" t="n"/>
      <c r="D32" s="6" t="n"/>
      <c r="E32" s="7" t="n"/>
      <c r="F32" s="6" t="n"/>
    </row>
    <row r="33">
      <c r="A33" s="6" t="n"/>
      <c r="B33" s="6" t="n"/>
      <c r="C33" s="6" t="n"/>
      <c r="D33" s="6" t="n"/>
      <c r="E33" s="7" t="n"/>
      <c r="F33" s="6" t="n"/>
    </row>
    <row r="34">
      <c r="A34" s="6" t="n"/>
      <c r="B34" s="6" t="n"/>
      <c r="C34" s="6" t="n"/>
      <c r="D34" s="6" t="n"/>
      <c r="E34" s="7" t="n"/>
      <c r="F34" s="6" t="n"/>
    </row>
    <row r="35">
      <c r="A35" s="6" t="n"/>
      <c r="B35" s="6" t="n"/>
      <c r="C35" s="6" t="n"/>
      <c r="D35" s="6" t="n"/>
      <c r="E35" s="7" t="n"/>
      <c r="F35" s="6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1" sqref="A1"/>
    </sheetView>
  </sheetViews>
  <sheetFormatPr baseColWidth="8" defaultColWidth="8.7109375" defaultRowHeight="15"/>
  <cols>
    <col width="25" customWidth="1" min="1" max="1"/>
    <col width="20" customWidth="1" min="2" max="2"/>
    <col width="55" customWidth="1" min="3" max="3"/>
  </cols>
  <sheetData>
    <row r="1" ht="18" customHeight="1">
      <c r="A1" s="34" t="inlineStr">
        <is>
          <t>Segment Definitions</t>
        </is>
      </c>
    </row>
    <row r="3">
      <c r="A3" s="21" t="inlineStr">
        <is>
          <t>Segment</t>
        </is>
      </c>
      <c r="B3" s="21" t="inlineStr">
        <is>
          <t>Plan Types Included</t>
        </is>
      </c>
      <c r="C3" s="21" t="inlineStr">
        <is>
          <t>Notes</t>
        </is>
      </c>
    </row>
    <row r="4">
      <c r="A4" s="6" t="inlineStr">
        <is>
          <t>Commercial</t>
        </is>
      </c>
      <c r="B4" s="6" t="inlineStr">
        <is>
          <t>Commercial, Employer, PBM, FEHBP, Municipal Plan, HIX, Pvt HIX, Fed Prog</t>
        </is>
      </c>
      <c r="C4" s="6" t="inlineStr">
        <is>
          <t>Includes Federal (VA, TRICARE)</t>
        </is>
      </c>
    </row>
    <row r="5">
      <c r="A5" s="6" t="inlineStr">
        <is>
          <t>Medicare</t>
        </is>
      </c>
      <c r="B5" s="6" t="inlineStr">
        <is>
          <t>Medicare PDP, Medicare MA, Medicare SN, EGWP, Medi-Medi, PACE</t>
        </is>
      </c>
      <c r="C5" s="6" t="inlineStr">
        <is>
          <t>All Part D coverage channels</t>
        </is>
      </c>
    </row>
    <row r="6">
      <c r="A6" s="6" t="inlineStr">
        <is>
          <t>Medicaid</t>
        </is>
      </c>
      <c r="B6" s="6" t="inlineStr">
        <is>
          <t>State Medicaid, Managed Medicaid, HIX-Medicaid, CHiP</t>
        </is>
      </c>
      <c r="C6" s="6" t="inlineStr">
        <is>
          <t>Fee-for-service and managed care</t>
        </is>
      </c>
    </row>
    <row r="9" ht="15.75" customHeight="1">
      <c r="A9" s="38" t="inlineStr">
        <is>
          <t>Coverage Status Mapping</t>
        </is>
      </c>
    </row>
    <row r="10">
      <c r="A10" s="21" t="inlineStr">
        <is>
          <t>Status</t>
        </is>
      </c>
      <c r="B10" s="21" t="inlineStr">
        <is>
          <t>Counted as Covered?</t>
        </is>
      </c>
      <c r="C10" s="21" t="inlineStr">
        <is>
          <t>Rationale</t>
        </is>
      </c>
    </row>
    <row r="11">
      <c r="A11" s="6" t="inlineStr">
        <is>
          <t>(T3) Non-Preferred</t>
        </is>
      </c>
      <c r="B11" s="6" t="inlineStr">
        <is>
          <t>Yes</t>
        </is>
      </c>
      <c r="C11" s="6" t="inlineStr">
        <is>
          <t>True formulary tier placement</t>
        </is>
      </c>
    </row>
    <row r="12">
      <c r="A12" s="6" t="inlineStr">
        <is>
          <t>(T4) Non-Preferred (QL)</t>
        </is>
      </c>
      <c r="B12" s="6" t="inlineStr">
        <is>
          <t>Yes</t>
        </is>
      </c>
      <c r="C12" s="6" t="inlineStr">
        <is>
          <t>True formulary tier placement with quantity limit</t>
        </is>
      </c>
    </row>
    <row r="13">
      <c r="A13" s="6" t="inlineStr">
        <is>
          <t>(NC) Non-Preferred (PA)</t>
        </is>
      </c>
      <c r="B13" s="6" t="inlineStr">
        <is>
          <t>No</t>
        </is>
      </c>
      <c r="C13" s="6" t="inlineStr">
        <is>
          <t>NC = Not Covered; PA available but no formulary placement</t>
        </is>
      </c>
    </row>
    <row r="14">
      <c r="A14" s="6" t="inlineStr">
        <is>
          <t>(N/A) N/A</t>
        </is>
      </c>
      <c r="B14" s="6" t="inlineStr">
        <is>
          <t>No</t>
        </is>
      </c>
      <c r="C14" s="6" t="inlineStr">
        <is>
          <t>Not reviewed or not applicable</t>
        </is>
      </c>
    </row>
    <row r="15">
      <c r="A15" s="6" t="inlineStr">
        <is>
          <t>(NC) Not Covered</t>
        </is>
      </c>
      <c r="B15" s="6" t="inlineStr">
        <is>
          <t>No</t>
        </is>
      </c>
      <c r="C15" s="6" t="inlineStr">
        <is>
          <t>Explicitly not covered</t>
        </is>
      </c>
    </row>
    <row r="16">
      <c r="A16" s="6" t="inlineStr">
        <is>
          <t>(NC) Not Covered (PA)</t>
        </is>
      </c>
      <c r="B16" s="6" t="inlineStr">
        <is>
          <t>No</t>
        </is>
      </c>
      <c r="C16" s="6" t="inlineStr">
        <is>
          <t>Not covered; PA may be available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2026-01-20T17:47:45Z</dcterms:created>
  <dcterms:modified xmlns:dcterms="http://purl.org/dc/terms/" xmlns:xsi="http://www.w3.org/2001/XMLSchema-instance" xsi:type="dcterms:W3CDTF">2026-01-31T14:24:57Z</dcterms:modified>
  <cp:lastModifiedBy>Joseph Ferrante</cp:lastModifiedBy>
  <cp:revision>1</cp:revision>
</cp:coreProperties>
</file>